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6"/>
  <workbookPr/>
  <mc:AlternateContent xmlns:mc="http://schemas.openxmlformats.org/markup-compatibility/2006">
    <mc:Choice Requires="x15">
      <x15ac:absPath xmlns:x15ac="http://schemas.microsoft.com/office/spreadsheetml/2010/11/ac" url="https://people.ey.com/personal/julien_roche_fabernovel_ey_com/Documents/Documents/CNAM Audits/"/>
    </mc:Choice>
  </mc:AlternateContent>
  <xr:revisionPtr revIDLastSave="0" documentId="8_{92B76201-DEA4-41D3-8660-1866347FAE98}" xr6:coauthVersionLast="47" xr6:coauthVersionMax="47" xr10:uidLastSave="{00000000-0000-0000-0000-000000000000}"/>
  <bookViews>
    <workbookView xWindow="0" yWindow="760" windowWidth="30240" windowHeight="17540" xr2:uid="{00000000-000D-0000-FFFF-FFFF00000000}"/>
  </bookViews>
  <sheets>
    <sheet name="HeaderBar" sheetId="4"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9" i="4" l="1"/>
  <c r="D8" i="4"/>
  <c r="D7" i="4"/>
  <c r="D6" i="4"/>
  <c r="D5" i="4"/>
  <c r="D10" i="4" l="1"/>
  <c r="D11" i="4" s="1"/>
</calcChain>
</file>

<file path=xl/sharedStrings.xml><?xml version="1.0" encoding="utf-8"?>
<sst xmlns="http://schemas.openxmlformats.org/spreadsheetml/2006/main" count="389" uniqueCount="285">
  <si>
    <t>Composant : HeaderBar</t>
  </si>
  <si>
    <t>Audit</t>
  </si>
  <si>
    <t>Audit V1</t>
  </si>
  <si>
    <t>Correction post audit V1 - (voir - https://github.com/assurance-maladie-digital/design-system-v3/issues/643)</t>
  </si>
  <si>
    <t>Date</t>
  </si>
  <si>
    <t>Version</t>
  </si>
  <si>
    <t>1.0.0</t>
  </si>
  <si>
    <t>1.0.5</t>
  </si>
  <si>
    <t>Nombre de critères conformes</t>
  </si>
  <si>
    <t>Nombre de critères non conformes</t>
  </si>
  <si>
    <t>Nombre de critères non applicable</t>
  </si>
  <si>
    <t>Nombre de critères dérogés</t>
  </si>
  <si>
    <t>Nombre de critères non testés</t>
  </si>
  <si>
    <t>Pourcentage de conformité</t>
  </si>
  <si>
    <t>Pourcentage de non-conformité</t>
  </si>
  <si>
    <t>Thématique</t>
  </si>
  <si>
    <t>N° critère</t>
  </si>
  <si>
    <t>Recommandation</t>
  </si>
  <si>
    <t>Conformité</t>
  </si>
  <si>
    <t>Description de l'erreur / Remarques / Questions</t>
  </si>
  <si>
    <t>Correction</t>
  </si>
  <si>
    <t>IMAGES</t>
  </si>
  <si>
    <t>1.1</t>
  </si>
  <si>
    <t>Chaque image porteuse d’information a-t-elle une alternative textuelle ?</t>
  </si>
  <si>
    <t>Conforme</t>
  </si>
  <si>
    <t>Le logo est une image porteuse d'information, comporte une alternative textuelle et l'attribut role="img" car il s'agit d'un SVG</t>
  </si>
  <si>
    <t>1.2</t>
  </si>
  <si>
    <t>Chaque image de décoration est-elle correctement ignorée par les technologies d’assistance ?</t>
  </si>
  <si>
    <t>Non conforme</t>
  </si>
  <si>
    <t>Le SVG séparateur entre le logo et le titre est bien une image de décoration, ignorée par les technologies d'assistance avec aria-hidden="true". En revanche, il possède l'attribut role="img" réservé aux images porteuses d'informations.</t>
  </si>
  <si>
    <t>utilisation du composant du design system SyIcon</t>
  </si>
  <si>
    <t>1.3</t>
  </si>
  <si>
    <t>Pour chaque image porteuse d'information ayant une alternative textuelle, cette alternative est-elle pertinente (hors cas particuliers) ?</t>
  </si>
  <si>
    <t>L'alternative textuelle est : "Logo de l'Assurance Maladie, cliquez pour revenir à l'accueil". Hors il faut que l'ensemble du texte présent dans l'image puisse être retranscrit au lecteur d'écran. Exemple conforme : "Sécurité sociale, l'Assurance Maladie : Agir ensemble, protéger chacun. Retour à l'accueil."</t>
  </si>
  <si>
    <t>Modification de l'aria-label</t>
  </si>
  <si>
    <t>1.4</t>
  </si>
  <si>
    <t>Pour chaque image utilisée comme CAPTCHA ou comme image-test, ayant une alternative textuelle, cette alternative permet-elle d’identifier la nature et la fonction de l’image ?</t>
  </si>
  <si>
    <t>Non applicable</t>
  </si>
  <si>
    <t>1.5</t>
  </si>
  <si>
    <t>Pour chaque image utilisée comme CAPTCHA, une solution d’accès alternatif au contenu ou à la fonction du CAPTCHA est-elle présente ?</t>
  </si>
  <si>
    <t>1.6</t>
  </si>
  <si>
    <t>Chaque image porteuse d’information a-t-elle, si nécessaire, une description détaillée ?</t>
  </si>
  <si>
    <t>1.7</t>
  </si>
  <si>
    <t>Pour chaque image porteuse d’information ayant une description détaillée, cette description est-elle pertinente ?</t>
  </si>
  <si>
    <t>1.8</t>
  </si>
  <si>
    <t>Chaque image texte porteuse d’information, en l’absence d’un mécanisme de remplacement, doit si possible être remplacée par du texte stylé. Cette règle est-elle respectée (hors cas particuliers) ?</t>
  </si>
  <si>
    <t>1.9</t>
  </si>
  <si>
    <t>Chaque légende d’image est-elle, si nécessaire, correctement reliée à l’image correspondante ?</t>
  </si>
  <si>
    <t>CADRES</t>
  </si>
  <si>
    <t>2.1</t>
  </si>
  <si>
    <t>Chaque cadre a-t-il un titre de cadre ?</t>
  </si>
  <si>
    <t>2.2</t>
  </si>
  <si>
    <t>Pour chaque cadre ayant un titre de cadre, ce titre de cadre est-il pertinent ?</t>
  </si>
  <si>
    <t>COULEURS</t>
  </si>
  <si>
    <t>3.1</t>
  </si>
  <si>
    <t>Dans chaque page web, l’information ne doit pas être donnée uniquement par la couleur. Cette règle est-elle respectée ?</t>
  </si>
  <si>
    <t>3.2</t>
  </si>
  <si>
    <t>Dans chaque page web, le contraste entre la couleur du texte et la couleur de son arrière-plan est-il suffisamment élevé (hors cas particuliers) ?</t>
  </si>
  <si>
    <t>Voir audit des boutons en ce qui concerne ce composant.
Thème par défaut :
  - Titre (18px normal) =&gt; texte bleu sur fond blanc =&gt; 5,7 (conforme)
  - Sous-titre (12px normal) =&gt; texte bleu sur fond blanc =&gt; 5,7 (conforme)</t>
  </si>
  <si>
    <t>3.3</t>
  </si>
  <si>
    <t>Dans chaque page web, les couleurs utilisées dans les composants d’interface ou les éléments graphiques porteurs d’informations sont-elles suffisamment contrastées (hors cas particuliers) ?</t>
  </si>
  <si>
    <t>Les logos sont exemptés par ce critère.
Voir audit des boutons en ce qui concerne ce composant.</t>
  </si>
  <si>
    <t>MULTIMÉDIA</t>
  </si>
  <si>
    <t>4.1</t>
  </si>
  <si>
    <t>Chaque média temporel pré-enregistré a-t-il, si nécessaire, une transcription textuelle ou une audiodescription (hors cas particuliers) ?</t>
  </si>
  <si>
    <t>4.2</t>
  </si>
  <si>
    <t>Pour chaque média temporel pré-enregistré ayant une transcription textuelle ou une audiodescription synchronisée, celles-ci sont-elles pertinentes (hors cas particuliers) ?</t>
  </si>
  <si>
    <t>4.3</t>
  </si>
  <si>
    <t>Chaque média temporel synchronisé pré-enregistré a-t-il, si nécessaire, des sous-titres synchronisés (hors cas particuliers) ?</t>
  </si>
  <si>
    <t>4.4</t>
  </si>
  <si>
    <t>Pour chaque média temporel synchronisé pré-enregistré ayant des sous-titres synchronisés, ces sous-titres sont-ils pertinents ?</t>
  </si>
  <si>
    <t>4.5</t>
  </si>
  <si>
    <t>Chaque média temporel pré-enregistré a-t-il, si nécessaire, une audiodescription synchronisée (hors cas particuliers) ?</t>
  </si>
  <si>
    <t>4.6</t>
  </si>
  <si>
    <t>Pour chaque média temporel pré-enregistré ayant une audiodescription synchronisée, celle-ci est-elle pertinente ?</t>
  </si>
  <si>
    <t>4.7</t>
  </si>
  <si>
    <t>Chaque média temporel est-il clairement identifiable (hors cas particuliers) ?</t>
  </si>
  <si>
    <t>4.8</t>
  </si>
  <si>
    <t>Chaque média non temporel a-t-il, si nécessaire, une alternative (hors cas particuliers) ?</t>
  </si>
  <si>
    <t>4.9</t>
  </si>
  <si>
    <t>Pour chaque média non temporel ayant une alternative, cette alternative est-elle pertinente ?</t>
  </si>
  <si>
    <t>4.10</t>
  </si>
  <si>
    <t>Chaque son déclenché automatiquement est-il contrôlable par l’utilisateur ?</t>
  </si>
  <si>
    <t>4.11</t>
  </si>
  <si>
    <t>La consultation de chaque média temporel est-elle, si nécessaire, contrôlable par le clavier et tout dispositif de pointage ?</t>
  </si>
  <si>
    <t>4.12</t>
  </si>
  <si>
    <t>La consultation de chaque média non temporel est-elle contrôlable par le clavier et tout dispositif de pointage ?</t>
  </si>
  <si>
    <t>4.13</t>
  </si>
  <si>
    <t>Chaque média temporel et non temporel est-il compatible avec les technologies d’assistance (hors cas particuliers) ?</t>
  </si>
  <si>
    <t>TABLEAUX</t>
  </si>
  <si>
    <t>5.1</t>
  </si>
  <si>
    <t>Chaque tableau de données complexe a-t-il un résumé ?</t>
  </si>
  <si>
    <t>5.2</t>
  </si>
  <si>
    <t>Pour chaque tableau de données complexe ayant un résumé, celui-ci est-il pertinent ?</t>
  </si>
  <si>
    <t>5.3</t>
  </si>
  <si>
    <t>Pour chaque tableau de mise en forme, le contenu linéarisé reste-t-il compréhensible ?</t>
  </si>
  <si>
    <t>5.4</t>
  </si>
  <si>
    <t>Pour chaque tableau de données ayant un titre, le titre est-il correctement associé au tableau de données ?</t>
  </si>
  <si>
    <t>5.5</t>
  </si>
  <si>
    <t>Pour chaque tableau de données ayant un titre, celui-ci est-il pertinent ?</t>
  </si>
  <si>
    <t>5.6</t>
  </si>
  <si>
    <t>Pour chaque tableau de données, chaque en-tête de colonnes et chaque en-tête de lignes sont-ils correctement déclarés ?</t>
  </si>
  <si>
    <t>5.7</t>
  </si>
  <si>
    <t>Pour chaque tableau de données, la technique appropriée permettant d’associer chaque cellule avec ses en-têtes est-elle utilisée (hors cas particuliers) ?</t>
  </si>
  <si>
    <t>5.8</t>
  </si>
  <si>
    <t>Chaque tableau de mise en forme ne doit pas utiliser d’éléments propres aux tableaux de données. Cette règle est-elle respectée ?</t>
  </si>
  <si>
    <t>LIENS</t>
  </si>
  <si>
    <t>6.1</t>
  </si>
  <si>
    <t>Chaque lien est-il explicite (hors cas particuliers) ?</t>
  </si>
  <si>
    <t>Le lien image du logo est non conforme (voir critère 1.3)</t>
  </si>
  <si>
    <t>6.2</t>
  </si>
  <si>
    <t>Dans chaque page web, chaque lien a-t-il un intitulé ?</t>
  </si>
  <si>
    <t>L'intitulé du lien image est bien présent via le aria-label</t>
  </si>
  <si>
    <t>SCRIPTS</t>
  </si>
  <si>
    <t>7.1</t>
  </si>
  <si>
    <t>Chaque script est-il, si nécessaire, compatible avec les technologies d’assistance ?</t>
  </si>
  <si>
    <t>Le menu hamburger est détaillé dans un audit spécifique.
Points négatifs :
  - manque le rôle "banner" sur la balise "header" ainsi que le rôle "search" sur le bouton "Rechercher" (voir critère 9.2)</t>
  </si>
  <si>
    <t>ajout des roles</t>
  </si>
  <si>
    <t>7.2</t>
  </si>
  <si>
    <t>Pour chaque script ayant une alternative, cette alternative est-elle pertinente ?</t>
  </si>
  <si>
    <t>7.3</t>
  </si>
  <si>
    <t>Chaque script est-il contrôlable par le clavier et par tout dispositif de pointage (hors cas particuliers) ?</t>
  </si>
  <si>
    <t xml:space="preserve">Tous les éléments sont controlâbles par le clavier. </t>
  </si>
  <si>
    <t>7.4</t>
  </si>
  <si>
    <t>Pour chaque script qui initie un changement de contexte, l’utilisateur est-il averti ou en a-t-il le contrôle ?</t>
  </si>
  <si>
    <t>7.5</t>
  </si>
  <si>
    <t>Dans chaque page web, les messages de statut sont-ils correctement restitués par les technologies d’assistance ?</t>
  </si>
  <si>
    <t>ÉLÉMENTS OBLIGATOIRES</t>
  </si>
  <si>
    <t>8.1</t>
  </si>
  <si>
    <t>Chaque page web est-elle définie par un type de document ?</t>
  </si>
  <si>
    <t>8.2</t>
  </si>
  <si>
    <t>Pour chaque page web, le code source généré est-il valide selon le type de document spécifié (hors cas particuliers) ?</t>
  </si>
  <si>
    <t>Aucune erreur remontée par le validateur HTML W3C.</t>
  </si>
  <si>
    <t>8.3</t>
  </si>
  <si>
    <t>Dans chaque page web, la langue par défaut est-elle présente ?</t>
  </si>
  <si>
    <t>8.4</t>
  </si>
  <si>
    <t>Pour chaque page web ayant une langue par défaut, le code de langue est-il pertinent ?</t>
  </si>
  <si>
    <t>8.5</t>
  </si>
  <si>
    <t>Chaque page web a-t-elle un titre de page ?</t>
  </si>
  <si>
    <t>8.6</t>
  </si>
  <si>
    <t>Pour chaque page web ayant un titre de page, ce titre est-il pertinent ?</t>
  </si>
  <si>
    <t>8.7</t>
  </si>
  <si>
    <t>Dans chaque page web, chaque changement de langue est-il indiqué dans le code source (hors cas particuliers) ?</t>
  </si>
  <si>
    <t>8.8</t>
  </si>
  <si>
    <t>Dans chaque page web, le code de langue de chaque changement de langue est-il valide et pertinent ?</t>
  </si>
  <si>
    <t>8.9</t>
  </si>
  <si>
    <t>Dans chaque page web, les balises ne doivent pas être utilisées uniquement à des fins de présentation. Cette règle est-elle respectée ?</t>
  </si>
  <si>
    <t>8.10</t>
  </si>
  <si>
    <t>Dans chaque page web, les changements du sens de lecture sont-ils signalés ?</t>
  </si>
  <si>
    <t>STRUCTURATION</t>
  </si>
  <si>
    <t>9.1</t>
  </si>
  <si>
    <t>Dans chaque page web, l’information est-elle structurée par l’utilisation appropriée de titres ?</t>
  </si>
  <si>
    <t>Le nom du service devraît être en h1</t>
  </si>
  <si>
    <t>modification du tag</t>
  </si>
  <si>
    <t>9.2</t>
  </si>
  <si>
    <t>Dans chaque page web, la structure du document est-elle cohérente (hors cas particuliers) ?</t>
  </si>
  <si>
    <t>- Ajouter le role="banner" sur l'élément "header".
- Le bouton de recherche doit posséder le role="search".</t>
  </si>
  <si>
    <t>ajout des rôles</t>
  </si>
  <si>
    <t>9.3</t>
  </si>
  <si>
    <t>Dans chaque page web, chaque liste est-elle correctement structurée ?</t>
  </si>
  <si>
    <t>9.4</t>
  </si>
  <si>
    <t>Dans chaque page web, chaque citation est-elle correctement indiquée ?</t>
  </si>
  <si>
    <t>PRÉSENTATION</t>
  </si>
  <si>
    <t>10.1</t>
  </si>
  <si>
    <t>Dans le site web, des feuilles de styles sont-elles utilisées pour contrôler la présentation de l’information ?</t>
  </si>
  <si>
    <t>Aucune balise ou attribut servant à la présentation de l'information n'est présent sur le composant, les styles sont bien réalisés par CSS. 
Une attention particulière est notée pour les espaces (sur un mot, un tableau ou pour simuler de la présentation) qui est de la responsabilité du contributeur</t>
  </si>
  <si>
    <t>10.2</t>
  </si>
  <si>
    <t>Dans chaque page web, le contenu visible porteur d’information reste-t-il présent lorsque les feuilles de styles sont désactivées ?</t>
  </si>
  <si>
    <t>Le composant est visible lorsque les feuilles de syles sont désactivées.</t>
  </si>
  <si>
    <t>10.3</t>
  </si>
  <si>
    <t>Dans chaque page web, l’information reste-t-elle compréhensible lorsque les feuilles de styles sont désactivées ?</t>
  </si>
  <si>
    <t>L'information reste compréhensible car chaque élément utilise un élément HTML approprié et l'ordre ne nuit pas à la compréhension du composant.</t>
  </si>
  <si>
    <t>10.4</t>
  </si>
  <si>
    <t>Dans chaque page web, le texte reste-t-il lisible lorsque la taille des caractères est augmentée jusqu’à 200%, au moins (hors cas particuliers) ?</t>
  </si>
  <si>
    <t xml:space="preserve">Aucun problème de lisibilité, que ce soit en zoom écran ou zoom texte à 200%. </t>
  </si>
  <si>
    <t>10.5</t>
  </si>
  <si>
    <t>Dans chaque page web, les déclarations CSS de couleurs de fond d’élément et de police sont-elles correctement utilisées ?</t>
  </si>
  <si>
    <t>Oui, chaque élément possède une couleur de fond et de polices, au moins, héritée d’un parent.</t>
  </si>
  <si>
    <t>10.6</t>
  </si>
  <si>
    <t>Dans chaque page web, chaque lien dont la nature n’est pas évidente est-il visible par rapport au texte environnant ?</t>
  </si>
  <si>
    <t>10.7</t>
  </si>
  <si>
    <t>Dans chaque page web, pour chaque élément recevant le focus, la prise de focus est-elle visible ?</t>
  </si>
  <si>
    <t>Voir audit boutons pour le contraste du focus sur fond blanc</t>
  </si>
  <si>
    <t>10.8</t>
  </si>
  <si>
    <t>Pour chaque page web, les contenus cachés ont-ils vocation à être ignorés par les technologies d’assistance ?</t>
  </si>
  <si>
    <t>10.9</t>
  </si>
  <si>
    <t>Dans chaque page web, l’information ne doit pas être donnée uniquement par la forme, taille ou position. Cette règle est-elle respectée ?</t>
  </si>
  <si>
    <t>10.10</t>
  </si>
  <si>
    <t>Dans chaque page web, l’information ne doit pas être donnée par la forme, taille ou position uniquement. Cette règle est-elle implémentée de façon pertinente ?</t>
  </si>
  <si>
    <t>10.11</t>
  </si>
  <si>
    <t>Pour chaque page web, les contenus peuvent-ils être présentés sans perte d’information ou de fonctionnalité et sans avoir recours soit à un défilement vertical pour une fenêtre ayant une hauteur de 256 px, soit à un défilement horizontal pour une fenêtre ayant une largeur de 320 px (hors cas particuliers) ?</t>
  </si>
  <si>
    <t>Test effectué à 320px (sens de lecture horizontal).
Le composant contient à 320px une barre de défilement horizontal à cause, notamment, des boutons.</t>
  </si>
  <si>
    <t>Modification de la story avec un boutton de type burger en mode mobile pour un comportement plus réaliste</t>
  </si>
  <si>
    <t>10.12</t>
  </si>
  <si>
    <t>Dans chaque page web, les propriétés d’espacement du texte peuvent-elles être redéfinies par l’utilisateur sans perte de contenu ou de fonctionnalité (hors cas particuliers) ?</t>
  </si>
  <si>
    <t>Testé avec Assistant RGAA :
body {
line-height: 1.5 !important;
letter-spacing: 0.12em !important;
 word-spacing: 0.16em !important;
}
p { margin-bottom: 2em !important; }</t>
  </si>
  <si>
    <t>10.13</t>
  </si>
  <si>
    <t>Dans chaque page web, les contenus additionnels apparaissant à la prise de focus ou au survol d’un composant d’interface sont-ils contrôlables par l’utilisateur (hors cas particuliers) ?</t>
  </si>
  <si>
    <t>10.14</t>
  </si>
  <si>
    <t>Dans chaque page web, les contenus additionnels apparaissant via les styles CSS uniquement peuvent-ils être rendus visibles au clavier et par tout dispositif de pointage ?</t>
  </si>
  <si>
    <t>FORMULAIRES</t>
  </si>
  <si>
    <t>11.1</t>
  </si>
  <si>
    <t>Chaque champ de formulaire a-t-il une étiquette ?</t>
  </si>
  <si>
    <t>11.2</t>
  </si>
  <si>
    <t>Chaque étiquette associée à un champ de formulaire est-elle pertinente (hors cas particuliers) ?</t>
  </si>
  <si>
    <t>11.3</t>
  </si>
  <si>
    <t>Dans chaque formulaire, chaque étiquette associée à un champ de formulaire ayant la même fonction et répété plusieurs fois dans une même page ou dans un ensemble de pages est-elle cohérente ?</t>
  </si>
  <si>
    <t>11.4</t>
  </si>
  <si>
    <t>Dans chaque formulaire, chaque étiquette de champ et son champ associé sont-ils accolés (hors cas particuliers) ?</t>
  </si>
  <si>
    <t>11.5</t>
  </si>
  <si>
    <t>Dans chaque formulaire, les champs de même nature sont-ils regroupés, si nécessaire ?</t>
  </si>
  <si>
    <t>11.6</t>
  </si>
  <si>
    <t>Dans chaque formulaire, chaque regroupement de champs de même nature a-t-il une légende ?</t>
  </si>
  <si>
    <t>11.7</t>
  </si>
  <si>
    <t>Dans chaque formulaire, chaque légende associée à un regroupement de champs de même nature est-elle pertinente ?</t>
  </si>
  <si>
    <t>11.8</t>
  </si>
  <si>
    <t>Dans chaque formulaire, les items de même nature d’une liste de choix sont-ils regroupées de manière pertinente ?</t>
  </si>
  <si>
    <t>11.9</t>
  </si>
  <si>
    <t>Dans chaque formulaire, l’intitulé de chaque bouton est-il pertinent (hors cas particuliers) ?</t>
  </si>
  <si>
    <t>11.10</t>
  </si>
  <si>
    <t>Dans chaque formulaire, le contrôle de saisie est-il utilisé de manière pertinente (hors cas particuliers) ?</t>
  </si>
  <si>
    <t>11.11</t>
  </si>
  <si>
    <t>Dans chaque formulaire, le contrôle de saisie est-il accompagné, si nécessaire, de suggestions facilitant la correction des erreurs de saisie ?</t>
  </si>
  <si>
    <t>11.12</t>
  </si>
  <si>
    <t>Pour chaque formulaire qui modifie ou supprime des données, ou qui transmet des réponses à un test ou à un examen, ou dont la validation a des conséquences financières ou juridiques, les données saisies peuvent-elles être modifiées, mises à jour ou récupérées par l’utilisateur ?</t>
  </si>
  <si>
    <t>11.13</t>
  </si>
  <si>
    <t>La finalité d’un champ de saisie peut-elle être déduite pour faciliter le remplissage automatique des champs avec les données de l’utilisateur ?</t>
  </si>
  <si>
    <t>NAVIGATION</t>
  </si>
  <si>
    <t>12.1</t>
  </si>
  <si>
    <t>Chaque ensemble de pages dispose-t-il de deux systèmes de navigation différents, au moins (hors cas particuliers) ?</t>
  </si>
  <si>
    <t>12.2</t>
  </si>
  <si>
    <t>Dans chaque ensemble de pages, le menu et les barres de navigation sont-ils toujours à la même place (hors cas particuliers) ?</t>
  </si>
  <si>
    <t>12.3</t>
  </si>
  <si>
    <t>La page « plan du site » est-elle pertinente ?</t>
  </si>
  <si>
    <t>12.4</t>
  </si>
  <si>
    <t>Dans chaque ensemble de pages, la page « plan du site » est-elle atteignable de manière identique ?</t>
  </si>
  <si>
    <t>12.5</t>
  </si>
  <si>
    <t>Dans chaque ensemble de pages, le moteur de recherche est-il atteignable de manière identique ?</t>
  </si>
  <si>
    <t>12.6</t>
  </si>
  <si>
    <t>Les zones de regroupement de contenus présentes dans plusieurs pages web (zones d’en-tête, de navigation principale, de contenu principal, de pied de page et de moteur de recherche) peuvent-elles être atteintes ou évitées ?</t>
  </si>
  <si>
    <t>12.7</t>
  </si>
  <si>
    <t>Dans chaque page web, un lien d’évitement ou d’accès rapide à la zone de contenu principal est-il présent (hors cas particuliers) ?</t>
  </si>
  <si>
    <t>12.8</t>
  </si>
  <si>
    <t>Dans chaque page web, l’ordre de tabulation est-il cohérent ?</t>
  </si>
  <si>
    <t>La tabulation respecte l'ordre des sections.</t>
  </si>
  <si>
    <t>12.9</t>
  </si>
  <si>
    <t>Dans chaque page web, la navigation ne doit pas contenir de piège au clavier. Cette règle est-elle respectée ?</t>
  </si>
  <si>
    <t>Test avec tabulation conforme =&gt; aucun piège au clavier</t>
  </si>
  <si>
    <t>12.10</t>
  </si>
  <si>
    <t>Dans chaque page web, les raccourcis clavier n’utilisant qu’une seule touche (lettre minuscule ou majuscule, ponctuation, chiffre ou symbole) sont-ils contrôlables par l’utilisateur ?</t>
  </si>
  <si>
    <t>12.11</t>
  </si>
  <si>
    <t>Dans chaque page web, les contenus additionnels apparaissant au survol, à la prise de focus ou à l’activation d’un composant d’interface sont-ils si nécessaire atteignables au clavier ?</t>
  </si>
  <si>
    <t>CONSULTATION</t>
  </si>
  <si>
    <t>13.1</t>
  </si>
  <si>
    <t>Pour chaque page web, l’utilisateur a-t-il le contrôle de chaque limite de temps modifiant le contenu (hors cas particuliers) ?</t>
  </si>
  <si>
    <t>13.2</t>
  </si>
  <si>
    <t>Dans chaque page web, l’ouverture d’une nouvelle fenêtre ne doit pas être déclenchée sans action de l’utilisateur. Cette règle est-elle respectée ?</t>
  </si>
  <si>
    <t>13.3</t>
  </si>
  <si>
    <t>Dans chaque page web, chaque document bureautique en téléchargement possède-t-il, si nécessaire, une version accessible (hors cas particuliers) ?</t>
  </si>
  <si>
    <t>13.4</t>
  </si>
  <si>
    <t>Pour chaque document bureautique ayant une version accessible, cette version offre-t-elle la même information ?</t>
  </si>
  <si>
    <t>13.5</t>
  </si>
  <si>
    <t>Dans chaque page web, chaque contenu cryptique (art ASCII, émoticon, syntaxe cryptique) a-t-il une alternative ?</t>
  </si>
  <si>
    <t>13.6</t>
  </si>
  <si>
    <t>Dans chaque page web, pour chaque contenu cryptique (art ASCII, émoticon, syntaxe cryptique) ayant une alternative, cette alternative est-elle pertinente ?</t>
  </si>
  <si>
    <t>13.7</t>
  </si>
  <si>
    <t>Dans chaque page web, les changements brusques de luminosité ou les effets de flash sont-ils correctement utilisés ?</t>
  </si>
  <si>
    <t>13.8</t>
  </si>
  <si>
    <t>Dans chaque page web, chaque contenu en mouvement ou clignotant est-il contrôlable par l’utilisateur ?</t>
  </si>
  <si>
    <t>13.9</t>
  </si>
  <si>
    <t>Dans chaque page web, le contenu proposé est-il consultable quelle que soit l’orientation de l’écran (portait ou paysage) (hors cas particuliers) ?</t>
  </si>
  <si>
    <t>13.10</t>
  </si>
  <si>
    <t>Dans chaque page web, les fonctionnalités utilisables ou disponibles au moyen d’un geste complexe peuvent-elles être également disponibles au moyen d’un geste simple (hors cas particuliers) ?</t>
  </si>
  <si>
    <t>13.11</t>
  </si>
  <si>
    <t>Dans chaque page web, les actions déclenchées au moyen d’un dispositif de pointage sur un point unique de l’écran peuvent-elles faire l’objet d’une annulation (hors cas particuliers) ?</t>
  </si>
  <si>
    <t>13.12</t>
  </si>
  <si>
    <t>Dans chaque page web, les fonctionnalités qui impliquent un mouvement de l’appareil ou vers l’appareil peuvent-elles être satisfaites de manière alternative (hors cas particuliers) ?</t>
  </si>
  <si>
    <t>Spécificité</t>
  </si>
  <si>
    <t>Source technique</t>
  </si>
  <si>
    <t>Doit faire parti d'une balise header role="banner"</t>
  </si>
  <si>
    <t>- https://www.w3.org/WAI/WCAG21/Techniques/aria/ARIA11
- https://www.accede-web.com/notices/html-et-css/structure-generale/structurer-la-zone-dentete-principale-avec-header-rolebanner/</t>
  </si>
  <si>
    <t>Les menus de navigation doivent être dans une balise nav role="navigation" et un nom accessible (via aria-label ou aria-labelledby)</t>
  </si>
  <si>
    <t>- https://www.w3.org/WAI/WCAG21/Techniques/aria/ARIA11
- https://www.accede-web.com/notices/html-et-css/structure-generale/structurer-les-menus-de-navigation-principaux-et-secondaires-avec-nav-rolenavigation/</t>
  </si>
  <si>
    <t>Le moteur de recherche doit être identifié avec le role="search"</t>
  </si>
  <si>
    <t>- https://www.w3.org/WAI/WCAG21/Techniques/aria/ARIA11
- https://www.accede-web.com/notices/html-et-css/structure-generale/identifier-le-moteur-de-recherche-avec-rolesearch/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</si>
</sst>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2"/>
      <color theme="1"/>
      <name val="Aptos Narrow"/>
      <family val="2"/>
      <scheme val="minor"/>
    </font>
    <font>
      <sz val="12"/>
      <color theme="1"/>
      <name val="Aptos Narrow"/>
      <family val="2"/>
      <scheme val="minor"/>
    </font>
    <font>
      <b/>
      <sz val="12"/>
      <color rgb="FFFFFFFF"/>
      <name val="Aptos Narrow"/>
      <scheme val="minor"/>
    </font>
    <font>
      <sz val="12"/>
      <color theme="1"/>
      <name val="Aptos Narrow"/>
      <scheme val="minor"/>
    </font>
    <font>
      <b/>
      <sz val="12"/>
      <color rgb="FF000000"/>
      <name val="Aptos Narrow"/>
      <scheme val="minor"/>
    </font>
    <font>
      <sz val="12"/>
      <color rgb="FF000000"/>
      <name val="Aptos Narrow"/>
      <scheme val="minor"/>
    </font>
    <font>
      <sz val="14"/>
      <color theme="1"/>
      <name val="Aptos Narrow"/>
      <family val="2"/>
      <scheme val="minor"/>
    </font>
    <font>
      <b/>
      <sz val="14"/>
      <color theme="0"/>
      <name val="Aptos Narrow"/>
      <family val="2"/>
      <scheme val="minor"/>
    </font>
    <font>
      <sz val="12"/>
      <name val="Aptos Narrow"/>
      <scheme val="minor"/>
    </font>
    <font>
      <sz val="14"/>
      <name val="Aptos Narrow"/>
      <scheme val="minor"/>
    </font>
    <font>
      <sz val="14"/>
      <color theme="1"/>
      <name val="Aptos Narrow"/>
      <scheme val="minor"/>
    </font>
    <font>
      <sz val="12"/>
      <color theme="0"/>
      <name val="Aptos Narrow"/>
      <scheme val="minor"/>
    </font>
    <font>
      <b/>
      <sz val="14"/>
      <name val="Aptos Narrow"/>
      <scheme val="minor"/>
    </font>
    <font>
      <b/>
      <sz val="14"/>
      <color theme="1"/>
      <name val="Aptos Narrow"/>
      <scheme val="minor"/>
    </font>
    <font>
      <sz val="12"/>
      <color rgb="FF006100"/>
      <name val="Aptos Narrow"/>
      <scheme val="minor"/>
    </font>
    <font>
      <sz val="14"/>
      <color rgb="FF000000"/>
      <name val="Aptos Narrow"/>
      <scheme val="minor"/>
    </font>
    <font>
      <sz val="12"/>
      <color theme="6"/>
      <name val="Aptos Narrow"/>
      <scheme val="minor"/>
    </font>
    <font>
      <b/>
      <sz val="13.5"/>
      <color rgb="FF000000"/>
      <name val="Aptos Narrow"/>
      <charset val="1"/>
    </font>
    <font>
      <sz val="13.5"/>
      <color rgb="FF000000"/>
      <name val="Aptos Narrow"/>
      <charset val="1"/>
    </font>
  </fonts>
  <fills count="8">
    <fill>
      <patternFill patternType="none"/>
    </fill>
    <fill>
      <patternFill patternType="gray125"/>
    </fill>
    <fill>
      <patternFill patternType="solid">
        <fgColor theme="0"/>
        <bgColor indexed="64"/>
      </patternFill>
    </fill>
    <fill>
      <patternFill patternType="solid">
        <fgColor rgb="FF000091"/>
        <bgColor indexed="64"/>
      </patternFill>
    </fill>
    <fill>
      <patternFill patternType="solid">
        <fgColor rgb="FF000091"/>
        <bgColor rgb="FF2D77D0"/>
      </patternFill>
    </fill>
    <fill>
      <patternFill patternType="solid">
        <fgColor rgb="FF000091"/>
        <bgColor rgb="FFC81A71"/>
      </patternFill>
    </fill>
    <fill>
      <patternFill patternType="solid">
        <fgColor rgb="FFC6EFCE"/>
        <bgColor rgb="FF000000"/>
      </patternFill>
    </fill>
    <fill>
      <patternFill patternType="solid">
        <fgColor rgb="FFC6EFCE"/>
        <bgColor indexed="64"/>
      </patternFill>
    </fill>
  </fills>
  <borders count="13">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9" fontId="1" fillId="0" borderId="0" applyFont="0" applyFill="0" applyBorder="0" applyAlignment="0" applyProtection="0"/>
  </cellStyleXfs>
  <cellXfs count="45">
    <xf numFmtId="0" fontId="0" fillId="0" borderId="0" xfId="0"/>
    <xf numFmtId="0" fontId="3" fillId="0" borderId="0" xfId="0" applyFont="1"/>
    <xf numFmtId="0" fontId="4" fillId="0" borderId="2" xfId="0" applyFont="1" applyBorder="1" applyAlignment="1">
      <alignment horizontal="center" vertical="center" wrapText="1"/>
    </xf>
    <xf numFmtId="0" fontId="5" fillId="0" borderId="2" xfId="0" applyFont="1" applyBorder="1" applyAlignment="1">
      <alignment horizontal="left" vertical="center" wrapText="1"/>
    </xf>
    <xf numFmtId="0" fontId="7" fillId="3" borderId="5" xfId="0" applyFont="1" applyFill="1" applyBorder="1"/>
    <xf numFmtId="0" fontId="6" fillId="2" borderId="6" xfId="0" applyFont="1" applyFill="1" applyBorder="1" applyAlignment="1">
      <alignment horizontal="left" vertical="top"/>
    </xf>
    <xf numFmtId="0" fontId="7" fillId="3" borderId="7" xfId="0" applyFont="1" applyFill="1" applyBorder="1"/>
    <xf numFmtId="0" fontId="8" fillId="0" borderId="0" xfId="0" applyFont="1" applyAlignment="1">
      <alignment horizontal="center" vertical="center" wrapText="1"/>
    </xf>
    <xf numFmtId="0" fontId="10" fillId="0" borderId="5" xfId="0" applyFont="1" applyBorder="1"/>
    <xf numFmtId="0" fontId="11" fillId="3" borderId="5" xfId="0" applyFont="1" applyFill="1" applyBorder="1"/>
    <xf numFmtId="0" fontId="3" fillId="0" borderId="5" xfId="0" applyFont="1" applyBorder="1" applyAlignment="1">
      <alignment horizontal="left" vertical="top" wrapText="1"/>
    </xf>
    <xf numFmtId="0" fontId="3" fillId="0" borderId="5" xfId="0" quotePrefix="1" applyFont="1" applyBorder="1" applyAlignment="1">
      <alignment horizontal="left" vertical="top" wrapText="1"/>
    </xf>
    <xf numFmtId="0" fontId="10" fillId="0" borderId="5" xfId="0" applyFont="1" applyBorder="1" applyAlignment="1">
      <alignment horizontal="right" vertical="top"/>
    </xf>
    <xf numFmtId="9" fontId="13" fillId="0" borderId="5" xfId="1" applyFont="1" applyFill="1" applyBorder="1"/>
    <xf numFmtId="0" fontId="7" fillId="3" borderId="11" xfId="0" applyFont="1" applyFill="1" applyBorder="1"/>
    <xf numFmtId="0" fontId="3" fillId="0" borderId="5" xfId="0" applyFont="1" applyBorder="1"/>
    <xf numFmtId="0" fontId="13" fillId="0" borderId="5" xfId="0" applyFont="1" applyBorder="1" applyAlignment="1">
      <alignment horizontal="right"/>
    </xf>
    <xf numFmtId="0" fontId="14" fillId="6" borderId="5" xfId="0" applyFont="1" applyFill="1" applyBorder="1" applyAlignment="1">
      <alignment horizontal="left" vertical="top" wrapText="1"/>
    </xf>
    <xf numFmtId="14" fontId="15" fillId="0" borderId="5" xfId="0" applyNumberFormat="1" applyFont="1" applyBorder="1"/>
    <xf numFmtId="0" fontId="11" fillId="3" borderId="5" xfId="0" applyFont="1" applyFill="1" applyBorder="1" applyAlignment="1">
      <alignment horizontal="left"/>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3" fillId="0" borderId="9" xfId="0" applyFont="1" applyBorder="1" applyAlignment="1">
      <alignment horizontal="left" vertical="top" wrapText="1"/>
    </xf>
    <xf numFmtId="0" fontId="3" fillId="0" borderId="10" xfId="0" applyFont="1" applyBorder="1" applyAlignment="1">
      <alignment horizontal="left" vertical="top" wrapText="1"/>
    </xf>
    <xf numFmtId="0" fontId="2" fillId="4" borderId="4" xfId="0" applyFont="1" applyFill="1" applyBorder="1" applyAlignment="1">
      <alignment horizontal="center" vertical="center" textRotation="90" wrapText="1"/>
    </xf>
    <xf numFmtId="0" fontId="2" fillId="4" borderId="3" xfId="0" applyFont="1" applyFill="1" applyBorder="1" applyAlignment="1">
      <alignment horizontal="center" vertical="center" textRotation="90" wrapText="1"/>
    </xf>
    <xf numFmtId="0" fontId="2" fillId="4" borderId="1" xfId="0" applyFont="1" applyFill="1" applyBorder="1" applyAlignment="1">
      <alignment horizontal="center" vertical="center" textRotation="90" wrapText="1"/>
    </xf>
    <xf numFmtId="0" fontId="2" fillId="4" borderId="8" xfId="0" applyFont="1" applyFill="1" applyBorder="1" applyAlignment="1">
      <alignment horizontal="center" vertical="center" textRotation="90" wrapText="1"/>
    </xf>
    <xf numFmtId="0" fontId="2" fillId="5" borderId="0" xfId="0" applyFont="1" applyFill="1" applyAlignment="1">
      <alignment horizontal="center" vertical="center" wrapText="1"/>
    </xf>
    <xf numFmtId="0" fontId="12" fillId="0" borderId="5" xfId="0" applyFont="1" applyBorder="1" applyAlignment="1">
      <alignment horizontal="left" vertical="center" wrapText="1"/>
    </xf>
    <xf numFmtId="0" fontId="9" fillId="0" borderId="5" xfId="0" applyFont="1" applyBorder="1" applyAlignment="1">
      <alignment horizontal="left" vertical="top" wrapText="1"/>
    </xf>
    <xf numFmtId="0" fontId="9" fillId="0" borderId="6" xfId="0" applyFont="1" applyBorder="1" applyAlignment="1">
      <alignment horizontal="left" vertical="top" wrapText="1"/>
    </xf>
    <xf numFmtId="0" fontId="9" fillId="0" borderId="9" xfId="0" applyFont="1" applyBorder="1" applyAlignment="1">
      <alignment horizontal="left" vertical="top" wrapText="1"/>
    </xf>
    <xf numFmtId="0" fontId="9" fillId="0" borderId="10" xfId="0" applyFont="1" applyBorder="1" applyAlignment="1">
      <alignment horizontal="left" vertical="top" wrapText="1"/>
    </xf>
    <xf numFmtId="0" fontId="12" fillId="0" borderId="6" xfId="0" applyFont="1" applyBorder="1" applyAlignment="1">
      <alignment horizontal="left" vertical="top" wrapText="1"/>
    </xf>
    <xf numFmtId="0" fontId="12" fillId="0" borderId="9" xfId="0" applyFont="1" applyBorder="1" applyAlignment="1">
      <alignment horizontal="left" vertical="top" wrapText="1"/>
    </xf>
    <xf numFmtId="0" fontId="12" fillId="0" borderId="10" xfId="0" applyFont="1" applyBorder="1" applyAlignment="1">
      <alignment horizontal="left" vertical="top" wrapText="1"/>
    </xf>
    <xf numFmtId="0" fontId="16" fillId="7" borderId="5" xfId="0" applyFont="1" applyFill="1" applyBorder="1" applyAlignment="1">
      <alignment vertical="top" wrapText="1"/>
    </xf>
    <xf numFmtId="0" fontId="16" fillId="7" borderId="5" xfId="0" applyFont="1" applyFill="1" applyBorder="1" applyAlignment="1">
      <alignment horizontal="left" vertical="top" wrapText="1"/>
    </xf>
    <xf numFmtId="0" fontId="16" fillId="7" borderId="5" xfId="0" applyFont="1" applyFill="1" applyBorder="1" applyAlignment="1">
      <alignment vertical="top"/>
    </xf>
    <xf numFmtId="14" fontId="18" fillId="0" borderId="1" xfId="0" applyNumberFormat="1" applyFont="1" applyBorder="1"/>
    <xf numFmtId="0" fontId="18" fillId="0" borderId="12" xfId="0" applyFont="1" applyBorder="1"/>
    <xf numFmtId="9" fontId="17" fillId="0" borderId="12" xfId="0" applyNumberFormat="1" applyFont="1" applyBorder="1"/>
    <xf numFmtId="0" fontId="18" fillId="0" borderId="12" xfId="0" applyFont="1" applyBorder="1" applyAlignment="1">
      <alignment horizontal="right"/>
    </xf>
    <xf numFmtId="0" fontId="17" fillId="0" borderId="12" xfId="0" applyFont="1" applyBorder="1" applyAlignment="1">
      <alignment horizontal="right"/>
    </xf>
  </cellXfs>
  <cellStyles count="2">
    <cellStyle name="Normal" xfId="0" builtinId="0"/>
    <cellStyle name="Pourcentage" xfId="1" builtinId="5"/>
  </cellStyles>
  <dxfs count="20">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theme="8" tint="-0.24994659260841701"/>
      </font>
      <fill>
        <patternFill>
          <bgColor theme="8" tint="0.79998168889431442"/>
        </patternFill>
      </fill>
    </dxf>
    <dxf>
      <font>
        <color rgb="FF9C5700"/>
      </font>
      <fill>
        <patternFill>
          <bgColor rgb="FFFFEB9C"/>
        </patternFill>
      </fill>
    </dxf>
  </dxfs>
  <tableStyles count="0" defaultTableStyle="TableStyleMedium2" defaultPivotStyle="PivotStyleLight16"/>
  <colors>
    <mruColors>
      <color rgb="FFC6EFCE"/>
      <color rgb="FF00009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1305E3-679E-D143-B3C8-3957FB01763A}">
  <dimension ref="A1:F126"/>
  <sheetViews>
    <sheetView tabSelected="1" zoomScale="110" zoomScaleNormal="110" workbookViewId="0">
      <selection activeCell="E8" sqref="E8"/>
    </sheetView>
  </sheetViews>
  <sheetFormatPr defaultColWidth="10.875" defaultRowHeight="15.95"/>
  <cols>
    <col min="1" max="1" width="15" style="1" customWidth="1"/>
    <col min="2" max="2" width="10.375" style="1" bestFit="1" customWidth="1"/>
    <col min="3" max="3" width="59.875" style="1" customWidth="1"/>
    <col min="4" max="4" width="15.125" style="1" bestFit="1" customWidth="1"/>
    <col min="5" max="5" width="115.125" style="1" customWidth="1"/>
    <col min="6" max="6" width="17.125" style="1" customWidth="1"/>
    <col min="7" max="16384" width="10.875" style="1"/>
  </cols>
  <sheetData>
    <row r="1" spans="1:6" ht="32.1" customHeight="1">
      <c r="A1" s="28" t="s">
        <v>0</v>
      </c>
      <c r="B1" s="28"/>
      <c r="C1" s="28"/>
      <c r="D1" s="28"/>
    </row>
    <row r="2" spans="1:6" ht="18.75">
      <c r="A2" s="29" t="s">
        <v>1</v>
      </c>
      <c r="B2" s="29"/>
      <c r="C2" s="29"/>
      <c r="D2" s="16" t="s">
        <v>2</v>
      </c>
      <c r="E2" s="44" t="s">
        <v>3</v>
      </c>
    </row>
    <row r="3" spans="1:6" ht="18.75">
      <c r="A3" s="30" t="s">
        <v>4</v>
      </c>
      <c r="B3" s="30"/>
      <c r="C3" s="30"/>
      <c r="D3" s="18">
        <v>45841</v>
      </c>
      <c r="E3" s="40">
        <v>45861</v>
      </c>
    </row>
    <row r="4" spans="1:6" ht="18.75">
      <c r="A4" s="31" t="s">
        <v>5</v>
      </c>
      <c r="B4" s="32"/>
      <c r="C4" s="33"/>
      <c r="D4" s="12" t="s">
        <v>6</v>
      </c>
      <c r="E4" s="43" t="s">
        <v>7</v>
      </c>
    </row>
    <row r="5" spans="1:6" ht="15.95" customHeight="1">
      <c r="A5" s="30" t="s">
        <v>8</v>
      </c>
      <c r="B5" s="30"/>
      <c r="C5" s="30"/>
      <c r="D5" s="8">
        <f xml:space="preserve"> COUNTIF($D$14:$D$119,"Conforme")</f>
        <v>13</v>
      </c>
      <c r="E5" s="41">
        <v>20</v>
      </c>
    </row>
    <row r="6" spans="1:6" ht="18.75">
      <c r="A6" s="30" t="s">
        <v>9</v>
      </c>
      <c r="B6" s="30"/>
      <c r="C6" s="30"/>
      <c r="D6" s="8">
        <f xml:space="preserve"> COUNTIF($D$14:$D$119,"Non conforme")</f>
        <v>7</v>
      </c>
      <c r="E6" s="41">
        <v>0</v>
      </c>
    </row>
    <row r="7" spans="1:6" ht="18.75">
      <c r="A7" s="30" t="s">
        <v>10</v>
      </c>
      <c r="B7" s="30"/>
      <c r="C7" s="30"/>
      <c r="D7" s="8">
        <f xml:space="preserve"> COUNTIF($D$14:$D$119,"Non applicable")</f>
        <v>86</v>
      </c>
      <c r="E7" s="41">
        <v>86</v>
      </c>
    </row>
    <row r="8" spans="1:6" ht="18.75">
      <c r="A8" s="30" t="s">
        <v>11</v>
      </c>
      <c r="B8" s="30"/>
      <c r="C8" s="30"/>
      <c r="D8" s="8">
        <f xml:space="preserve"> COUNTIF($D$14:$D$119,"Dérogé")</f>
        <v>0</v>
      </c>
      <c r="E8" s="41">
        <v>0</v>
      </c>
    </row>
    <row r="9" spans="1:6" ht="18.75">
      <c r="A9" s="30" t="s">
        <v>12</v>
      </c>
      <c r="B9" s="30"/>
      <c r="C9" s="30"/>
      <c r="D9" s="8">
        <f xml:space="preserve"> COUNTIF($D$14:$D$119,"Non testé")</f>
        <v>0</v>
      </c>
      <c r="E9" s="41">
        <v>0</v>
      </c>
    </row>
    <row r="10" spans="1:6" ht="18.95" customHeight="1">
      <c r="A10" s="34" t="s">
        <v>13</v>
      </c>
      <c r="B10" s="35"/>
      <c r="C10" s="36"/>
      <c r="D10" s="13">
        <f>IF(SUM(D5:D6)&gt;0,D5/SUM(D5:D6),"")</f>
        <v>0.65</v>
      </c>
      <c r="E10" s="42">
        <v>1</v>
      </c>
    </row>
    <row r="11" spans="1:6" ht="18.95" customHeight="1">
      <c r="A11" s="34" t="s">
        <v>14</v>
      </c>
      <c r="B11" s="35"/>
      <c r="C11" s="36"/>
      <c r="D11" s="13">
        <f>IF(SUM(D5:D6)&gt;0,1-ROUND(D10,2),"")</f>
        <v>0.35</v>
      </c>
      <c r="E11" s="42">
        <v>0</v>
      </c>
    </row>
    <row r="12" spans="1:6">
      <c r="A12" s="7"/>
      <c r="B12" s="7"/>
      <c r="C12" s="7"/>
    </row>
    <row r="13" spans="1:6" ht="18.95">
      <c r="A13" s="4" t="s">
        <v>15</v>
      </c>
      <c r="B13" s="4" t="s">
        <v>16</v>
      </c>
      <c r="C13" s="4" t="s">
        <v>17</v>
      </c>
      <c r="D13" s="4" t="s">
        <v>18</v>
      </c>
      <c r="E13" s="6" t="s">
        <v>19</v>
      </c>
      <c r="F13" s="14" t="s">
        <v>20</v>
      </c>
    </row>
    <row r="14" spans="1:6" ht="18.75">
      <c r="A14" s="27" t="s">
        <v>21</v>
      </c>
      <c r="B14" s="2" t="s">
        <v>22</v>
      </c>
      <c r="C14" s="3" t="s">
        <v>23</v>
      </c>
      <c r="D14" s="5" t="s">
        <v>24</v>
      </c>
      <c r="E14" s="10" t="s">
        <v>25</v>
      </c>
      <c r="F14" s="15"/>
    </row>
    <row r="15" spans="1:6" ht="61.5">
      <c r="A15" s="25"/>
      <c r="B15" s="2" t="s">
        <v>26</v>
      </c>
      <c r="C15" s="3" t="s">
        <v>27</v>
      </c>
      <c r="D15" s="5" t="s">
        <v>28</v>
      </c>
      <c r="E15" s="11" t="s">
        <v>29</v>
      </c>
      <c r="F15" s="37" t="s">
        <v>30</v>
      </c>
    </row>
    <row r="16" spans="1:6" ht="46.5">
      <c r="A16" s="25"/>
      <c r="B16" s="2" t="s">
        <v>31</v>
      </c>
      <c r="C16" s="3" t="s">
        <v>32</v>
      </c>
      <c r="D16" s="5" t="s">
        <v>28</v>
      </c>
      <c r="E16" s="10" t="s">
        <v>33</v>
      </c>
      <c r="F16" s="37" t="s">
        <v>34</v>
      </c>
    </row>
    <row r="17" spans="1:6" ht="51">
      <c r="A17" s="25"/>
      <c r="B17" s="2" t="s">
        <v>35</v>
      </c>
      <c r="C17" s="3" t="s">
        <v>36</v>
      </c>
      <c r="D17" s="5" t="s">
        <v>37</v>
      </c>
      <c r="E17" s="10"/>
      <c r="F17" s="15"/>
    </row>
    <row r="18" spans="1:6" ht="33.950000000000003">
      <c r="A18" s="25"/>
      <c r="B18" s="2" t="s">
        <v>38</v>
      </c>
      <c r="C18" s="3" t="s">
        <v>39</v>
      </c>
      <c r="D18" s="5" t="s">
        <v>37</v>
      </c>
      <c r="E18" s="10"/>
      <c r="F18" s="15"/>
    </row>
    <row r="19" spans="1:6" ht="33.950000000000003">
      <c r="A19" s="25"/>
      <c r="B19" s="2" t="s">
        <v>40</v>
      </c>
      <c r="C19" s="3" t="s">
        <v>41</v>
      </c>
      <c r="D19" s="5" t="s">
        <v>37</v>
      </c>
      <c r="E19" s="10"/>
      <c r="F19" s="15"/>
    </row>
    <row r="20" spans="1:6" ht="33.950000000000003">
      <c r="A20" s="25"/>
      <c r="B20" s="2" t="s">
        <v>42</v>
      </c>
      <c r="C20" s="3" t="s">
        <v>43</v>
      </c>
      <c r="D20" s="5" t="s">
        <v>37</v>
      </c>
      <c r="E20" s="10"/>
      <c r="F20" s="15"/>
    </row>
    <row r="21" spans="1:6" ht="51">
      <c r="A21" s="25"/>
      <c r="B21" s="2" t="s">
        <v>44</v>
      </c>
      <c r="C21" s="3" t="s">
        <v>45</v>
      </c>
      <c r="D21" s="5" t="s">
        <v>37</v>
      </c>
      <c r="E21" s="10"/>
      <c r="F21" s="15"/>
    </row>
    <row r="22" spans="1:6" ht="33.950000000000003">
      <c r="A22" s="26"/>
      <c r="B22" s="2" t="s">
        <v>46</v>
      </c>
      <c r="C22" s="3" t="s">
        <v>47</v>
      </c>
      <c r="D22" s="5" t="s">
        <v>37</v>
      </c>
      <c r="E22" s="10"/>
      <c r="F22" s="15"/>
    </row>
    <row r="23" spans="1:6" ht="18.95">
      <c r="A23" s="24" t="s">
        <v>48</v>
      </c>
      <c r="B23" s="2" t="s">
        <v>49</v>
      </c>
      <c r="C23" s="3" t="s">
        <v>50</v>
      </c>
      <c r="D23" s="5" t="s">
        <v>37</v>
      </c>
      <c r="E23" s="10"/>
      <c r="F23" s="15"/>
    </row>
    <row r="24" spans="1:6" ht="33.950000000000003">
      <c r="A24" s="26"/>
      <c r="B24" s="2" t="s">
        <v>51</v>
      </c>
      <c r="C24" s="3" t="s">
        <v>52</v>
      </c>
      <c r="D24" s="5" t="s">
        <v>37</v>
      </c>
      <c r="E24" s="10"/>
      <c r="F24" s="15"/>
    </row>
    <row r="25" spans="1:6" ht="33.950000000000003">
      <c r="A25" s="24" t="s">
        <v>53</v>
      </c>
      <c r="B25" s="2" t="s">
        <v>54</v>
      </c>
      <c r="C25" s="3" t="s">
        <v>55</v>
      </c>
      <c r="D25" s="5" t="s">
        <v>37</v>
      </c>
      <c r="E25" s="10"/>
      <c r="F25" s="15"/>
    </row>
    <row r="26" spans="1:6" ht="84.95">
      <c r="A26" s="25"/>
      <c r="B26" s="2" t="s">
        <v>56</v>
      </c>
      <c r="C26" s="3" t="s">
        <v>57</v>
      </c>
      <c r="D26" s="5" t="s">
        <v>24</v>
      </c>
      <c r="E26" s="10" t="s">
        <v>58</v>
      </c>
      <c r="F26" s="15"/>
    </row>
    <row r="27" spans="1:6" ht="51">
      <c r="A27" s="26"/>
      <c r="B27" s="2" t="s">
        <v>59</v>
      </c>
      <c r="C27" s="3" t="s">
        <v>60</v>
      </c>
      <c r="D27" s="5" t="s">
        <v>37</v>
      </c>
      <c r="E27" s="10" t="s">
        <v>61</v>
      </c>
      <c r="F27" s="15"/>
    </row>
    <row r="28" spans="1:6" ht="33.950000000000003">
      <c r="A28" s="24" t="s">
        <v>62</v>
      </c>
      <c r="B28" s="2" t="s">
        <v>63</v>
      </c>
      <c r="C28" s="3" t="s">
        <v>64</v>
      </c>
      <c r="D28" s="5" t="s">
        <v>37</v>
      </c>
      <c r="E28" s="10"/>
      <c r="F28" s="15"/>
    </row>
    <row r="29" spans="1:6" ht="51">
      <c r="A29" s="25"/>
      <c r="B29" s="2" t="s">
        <v>65</v>
      </c>
      <c r="C29" s="3" t="s">
        <v>66</v>
      </c>
      <c r="D29" s="5" t="s">
        <v>37</v>
      </c>
      <c r="E29" s="10"/>
      <c r="F29" s="15"/>
    </row>
    <row r="30" spans="1:6" ht="33.950000000000003">
      <c r="A30" s="25"/>
      <c r="B30" s="2" t="s">
        <v>67</v>
      </c>
      <c r="C30" s="3" t="s">
        <v>68</v>
      </c>
      <c r="D30" s="5" t="s">
        <v>37</v>
      </c>
      <c r="E30" s="10"/>
      <c r="F30" s="15"/>
    </row>
    <row r="31" spans="1:6" ht="33.950000000000003">
      <c r="A31" s="25"/>
      <c r="B31" s="2" t="s">
        <v>69</v>
      </c>
      <c r="C31" s="3" t="s">
        <v>70</v>
      </c>
      <c r="D31" s="5" t="s">
        <v>37</v>
      </c>
      <c r="E31" s="10"/>
      <c r="F31" s="15"/>
    </row>
    <row r="32" spans="1:6" ht="33.950000000000003">
      <c r="A32" s="25"/>
      <c r="B32" s="2" t="s">
        <v>71</v>
      </c>
      <c r="C32" s="3" t="s">
        <v>72</v>
      </c>
      <c r="D32" s="5" t="s">
        <v>37</v>
      </c>
      <c r="E32" s="10"/>
      <c r="F32" s="15"/>
    </row>
    <row r="33" spans="1:6" ht="33.950000000000003">
      <c r="A33" s="25"/>
      <c r="B33" s="2" t="s">
        <v>73</v>
      </c>
      <c r="C33" s="3" t="s">
        <v>74</v>
      </c>
      <c r="D33" s="5" t="s">
        <v>37</v>
      </c>
      <c r="E33" s="10"/>
      <c r="F33" s="15"/>
    </row>
    <row r="34" spans="1:6" ht="33.950000000000003">
      <c r="A34" s="25"/>
      <c r="B34" s="2" t="s">
        <v>75</v>
      </c>
      <c r="C34" s="3" t="s">
        <v>76</v>
      </c>
      <c r="D34" s="5" t="s">
        <v>37</v>
      </c>
      <c r="E34" s="10"/>
      <c r="F34" s="15"/>
    </row>
    <row r="35" spans="1:6" ht="33.950000000000003">
      <c r="A35" s="25"/>
      <c r="B35" s="2" t="s">
        <v>77</v>
      </c>
      <c r="C35" s="3" t="s">
        <v>78</v>
      </c>
      <c r="D35" s="5" t="s">
        <v>37</v>
      </c>
      <c r="E35" s="10"/>
      <c r="F35" s="15"/>
    </row>
    <row r="36" spans="1:6" ht="33.950000000000003">
      <c r="A36" s="25"/>
      <c r="B36" s="2" t="s">
        <v>79</v>
      </c>
      <c r="C36" s="3" t="s">
        <v>80</v>
      </c>
      <c r="D36" s="5" t="s">
        <v>37</v>
      </c>
      <c r="E36" s="10"/>
      <c r="F36" s="15"/>
    </row>
    <row r="37" spans="1:6" ht="33.950000000000003">
      <c r="A37" s="25"/>
      <c r="B37" s="2" t="s">
        <v>81</v>
      </c>
      <c r="C37" s="3" t="s">
        <v>82</v>
      </c>
      <c r="D37" s="5" t="s">
        <v>37</v>
      </c>
      <c r="E37" s="10"/>
      <c r="F37" s="15"/>
    </row>
    <row r="38" spans="1:6" ht="33.950000000000003">
      <c r="A38" s="25"/>
      <c r="B38" s="2" t="s">
        <v>83</v>
      </c>
      <c r="C38" s="3" t="s">
        <v>84</v>
      </c>
      <c r="D38" s="5" t="s">
        <v>37</v>
      </c>
      <c r="E38" s="10"/>
      <c r="F38" s="15"/>
    </row>
    <row r="39" spans="1:6" ht="33.950000000000003">
      <c r="A39" s="25"/>
      <c r="B39" s="2" t="s">
        <v>85</v>
      </c>
      <c r="C39" s="3" t="s">
        <v>86</v>
      </c>
      <c r="D39" s="5" t="s">
        <v>37</v>
      </c>
      <c r="E39" s="10"/>
      <c r="F39" s="15"/>
    </row>
    <row r="40" spans="1:6" ht="33.950000000000003">
      <c r="A40" s="26"/>
      <c r="B40" s="2" t="s">
        <v>87</v>
      </c>
      <c r="C40" s="3" t="s">
        <v>88</v>
      </c>
      <c r="D40" s="5" t="s">
        <v>37</v>
      </c>
      <c r="E40" s="10"/>
      <c r="F40" s="15"/>
    </row>
    <row r="41" spans="1:6" ht="18.95">
      <c r="A41" s="24" t="s">
        <v>89</v>
      </c>
      <c r="B41" s="2" t="s">
        <v>90</v>
      </c>
      <c r="C41" s="3" t="s">
        <v>91</v>
      </c>
      <c r="D41" s="5" t="s">
        <v>37</v>
      </c>
      <c r="E41" s="10"/>
      <c r="F41" s="15"/>
    </row>
    <row r="42" spans="1:6" ht="33.950000000000003">
      <c r="A42" s="25"/>
      <c r="B42" s="2" t="s">
        <v>92</v>
      </c>
      <c r="C42" s="3" t="s">
        <v>93</v>
      </c>
      <c r="D42" s="5" t="s">
        <v>37</v>
      </c>
      <c r="E42" s="10"/>
      <c r="F42" s="15"/>
    </row>
    <row r="43" spans="1:6" ht="33.950000000000003">
      <c r="A43" s="25"/>
      <c r="B43" s="2" t="s">
        <v>94</v>
      </c>
      <c r="C43" s="3" t="s">
        <v>95</v>
      </c>
      <c r="D43" s="5" t="s">
        <v>37</v>
      </c>
      <c r="E43" s="10"/>
      <c r="F43" s="15"/>
    </row>
    <row r="44" spans="1:6" ht="33.950000000000003">
      <c r="A44" s="25"/>
      <c r="B44" s="2" t="s">
        <v>96</v>
      </c>
      <c r="C44" s="3" t="s">
        <v>97</v>
      </c>
      <c r="D44" s="5" t="s">
        <v>37</v>
      </c>
      <c r="E44" s="10"/>
      <c r="F44" s="15"/>
    </row>
    <row r="45" spans="1:6" ht="33.950000000000003">
      <c r="A45" s="25"/>
      <c r="B45" s="2" t="s">
        <v>98</v>
      </c>
      <c r="C45" s="3" t="s">
        <v>99</v>
      </c>
      <c r="D45" s="5" t="s">
        <v>37</v>
      </c>
      <c r="E45" s="10"/>
      <c r="F45" s="15"/>
    </row>
    <row r="46" spans="1:6" ht="33.950000000000003">
      <c r="A46" s="25"/>
      <c r="B46" s="2" t="s">
        <v>100</v>
      </c>
      <c r="C46" s="3" t="s">
        <v>101</v>
      </c>
      <c r="D46" s="5" t="s">
        <v>37</v>
      </c>
      <c r="E46" s="10"/>
      <c r="F46" s="15"/>
    </row>
    <row r="47" spans="1:6" ht="51">
      <c r="A47" s="25"/>
      <c r="B47" s="2" t="s">
        <v>102</v>
      </c>
      <c r="C47" s="3" t="s">
        <v>103</v>
      </c>
      <c r="D47" s="5" t="s">
        <v>37</v>
      </c>
      <c r="E47" s="10"/>
      <c r="F47" s="15"/>
    </row>
    <row r="48" spans="1:6" ht="33.950000000000003">
      <c r="A48" s="26"/>
      <c r="B48" s="2" t="s">
        <v>104</v>
      </c>
      <c r="C48" s="3" t="s">
        <v>105</v>
      </c>
      <c r="D48" s="5" t="s">
        <v>37</v>
      </c>
      <c r="E48" s="10"/>
      <c r="F48" s="15"/>
    </row>
    <row r="49" spans="1:6" ht="30.75">
      <c r="A49" s="24" t="s">
        <v>106</v>
      </c>
      <c r="B49" s="2" t="s">
        <v>107</v>
      </c>
      <c r="C49" s="3" t="s">
        <v>108</v>
      </c>
      <c r="D49" s="5" t="s">
        <v>28</v>
      </c>
      <c r="E49" s="10" t="s">
        <v>109</v>
      </c>
      <c r="F49" s="38" t="s">
        <v>34</v>
      </c>
    </row>
    <row r="50" spans="1:6" ht="18.95">
      <c r="A50" s="26"/>
      <c r="B50" s="2" t="s">
        <v>110</v>
      </c>
      <c r="C50" s="3" t="s">
        <v>111</v>
      </c>
      <c r="D50" s="5" t="s">
        <v>24</v>
      </c>
      <c r="E50" s="10" t="s">
        <v>112</v>
      </c>
      <c r="F50" s="15"/>
    </row>
    <row r="51" spans="1:6" ht="61.5">
      <c r="A51" s="24" t="s">
        <v>113</v>
      </c>
      <c r="B51" s="2" t="s">
        <v>114</v>
      </c>
      <c r="C51" s="3" t="s">
        <v>115</v>
      </c>
      <c r="D51" s="5" t="s">
        <v>28</v>
      </c>
      <c r="E51" s="10" t="s">
        <v>116</v>
      </c>
      <c r="F51" s="39" t="s">
        <v>117</v>
      </c>
    </row>
    <row r="52" spans="1:6" ht="33.950000000000003">
      <c r="A52" s="25"/>
      <c r="B52" s="2" t="s">
        <v>118</v>
      </c>
      <c r="C52" s="3" t="s">
        <v>119</v>
      </c>
      <c r="D52" s="5" t="s">
        <v>37</v>
      </c>
      <c r="E52" s="10"/>
      <c r="F52" s="15"/>
    </row>
    <row r="53" spans="1:6" ht="33.950000000000003">
      <c r="A53" s="25"/>
      <c r="B53" s="2" t="s">
        <v>120</v>
      </c>
      <c r="C53" s="3" t="s">
        <v>121</v>
      </c>
      <c r="D53" s="5" t="s">
        <v>24</v>
      </c>
      <c r="E53" s="10" t="s">
        <v>122</v>
      </c>
      <c r="F53" s="15"/>
    </row>
    <row r="54" spans="1:6" ht="33.950000000000003">
      <c r="A54" s="25"/>
      <c r="B54" s="2" t="s">
        <v>123</v>
      </c>
      <c r="C54" s="3" t="s">
        <v>124</v>
      </c>
      <c r="D54" s="5" t="s">
        <v>37</v>
      </c>
      <c r="E54" s="10"/>
      <c r="F54" s="15"/>
    </row>
    <row r="55" spans="1:6" ht="33.950000000000003">
      <c r="A55" s="26"/>
      <c r="B55" s="2" t="s">
        <v>125</v>
      </c>
      <c r="C55" s="3" t="s">
        <v>126</v>
      </c>
      <c r="D55" s="5" t="s">
        <v>37</v>
      </c>
      <c r="E55" s="10"/>
      <c r="F55" s="15"/>
    </row>
    <row r="56" spans="1:6" ht="18.95">
      <c r="A56" s="24" t="s">
        <v>127</v>
      </c>
      <c r="B56" s="2" t="s">
        <v>128</v>
      </c>
      <c r="C56" s="3" t="s">
        <v>129</v>
      </c>
      <c r="D56" s="5" t="s">
        <v>37</v>
      </c>
      <c r="E56" s="10"/>
      <c r="F56" s="15"/>
    </row>
    <row r="57" spans="1:6" ht="33.950000000000003">
      <c r="A57" s="25"/>
      <c r="B57" s="2" t="s">
        <v>130</v>
      </c>
      <c r="C57" s="3" t="s">
        <v>131</v>
      </c>
      <c r="D57" s="5" t="s">
        <v>24</v>
      </c>
      <c r="E57" s="10" t="s">
        <v>132</v>
      </c>
      <c r="F57" s="15"/>
    </row>
    <row r="58" spans="1:6" ht="18.95">
      <c r="A58" s="25"/>
      <c r="B58" s="2" t="s">
        <v>133</v>
      </c>
      <c r="C58" s="3" t="s">
        <v>134</v>
      </c>
      <c r="D58" s="5" t="s">
        <v>37</v>
      </c>
      <c r="E58" s="10"/>
      <c r="F58" s="15"/>
    </row>
    <row r="59" spans="1:6" ht="33.950000000000003">
      <c r="A59" s="25"/>
      <c r="B59" s="2" t="s">
        <v>135</v>
      </c>
      <c r="C59" s="3" t="s">
        <v>136</v>
      </c>
      <c r="D59" s="5" t="s">
        <v>37</v>
      </c>
      <c r="E59" s="10"/>
      <c r="F59" s="15"/>
    </row>
    <row r="60" spans="1:6" ht="18.95">
      <c r="A60" s="25"/>
      <c r="B60" s="2" t="s">
        <v>137</v>
      </c>
      <c r="C60" s="3" t="s">
        <v>138</v>
      </c>
      <c r="D60" s="5" t="s">
        <v>37</v>
      </c>
      <c r="E60" s="10"/>
      <c r="F60" s="15"/>
    </row>
    <row r="61" spans="1:6" ht="18.95">
      <c r="A61" s="25"/>
      <c r="B61" s="2" t="s">
        <v>139</v>
      </c>
      <c r="C61" s="3" t="s">
        <v>140</v>
      </c>
      <c r="D61" s="5" t="s">
        <v>37</v>
      </c>
      <c r="E61" s="10"/>
      <c r="F61" s="15"/>
    </row>
    <row r="62" spans="1:6" ht="33.950000000000003">
      <c r="A62" s="25"/>
      <c r="B62" s="2" t="s">
        <v>141</v>
      </c>
      <c r="C62" s="3" t="s">
        <v>142</v>
      </c>
      <c r="D62" s="5" t="s">
        <v>37</v>
      </c>
      <c r="E62" s="10"/>
      <c r="F62" s="15"/>
    </row>
    <row r="63" spans="1:6" ht="33.950000000000003">
      <c r="A63" s="25"/>
      <c r="B63" s="2" t="s">
        <v>143</v>
      </c>
      <c r="C63" s="3" t="s">
        <v>144</v>
      </c>
      <c r="D63" s="5" t="s">
        <v>37</v>
      </c>
      <c r="E63" s="10"/>
      <c r="F63" s="15"/>
    </row>
    <row r="64" spans="1:6" ht="33.950000000000003">
      <c r="A64" s="25"/>
      <c r="B64" s="2" t="s">
        <v>145</v>
      </c>
      <c r="C64" s="3" t="s">
        <v>146</v>
      </c>
      <c r="D64" s="5" t="s">
        <v>37</v>
      </c>
      <c r="E64" s="10"/>
      <c r="F64" s="15"/>
    </row>
    <row r="65" spans="1:6" ht="33.950000000000003">
      <c r="A65" s="26"/>
      <c r="B65" s="2" t="s">
        <v>147</v>
      </c>
      <c r="C65" s="3" t="s">
        <v>148</v>
      </c>
      <c r="D65" s="5" t="s">
        <v>37</v>
      </c>
      <c r="E65" s="10"/>
      <c r="F65" s="15"/>
    </row>
    <row r="66" spans="1:6" ht="32.25">
      <c r="A66" s="24" t="s">
        <v>149</v>
      </c>
      <c r="B66" s="2" t="s">
        <v>150</v>
      </c>
      <c r="C66" s="3" t="s">
        <v>151</v>
      </c>
      <c r="D66" s="5" t="s">
        <v>28</v>
      </c>
      <c r="E66" s="10" t="s">
        <v>152</v>
      </c>
      <c r="F66" s="37" t="s">
        <v>153</v>
      </c>
    </row>
    <row r="67" spans="1:6" ht="32.25">
      <c r="A67" s="25"/>
      <c r="B67" s="2" t="s">
        <v>154</v>
      </c>
      <c r="C67" s="3" t="s">
        <v>155</v>
      </c>
      <c r="D67" s="5" t="s">
        <v>28</v>
      </c>
      <c r="E67" s="11" t="s">
        <v>156</v>
      </c>
      <c r="F67" s="39" t="s">
        <v>157</v>
      </c>
    </row>
    <row r="68" spans="1:6" ht="18.95">
      <c r="A68" s="25"/>
      <c r="B68" s="2" t="s">
        <v>158</v>
      </c>
      <c r="C68" s="3" t="s">
        <v>159</v>
      </c>
      <c r="D68" s="5" t="s">
        <v>37</v>
      </c>
      <c r="E68" s="10"/>
      <c r="F68" s="15"/>
    </row>
    <row r="69" spans="1:6" ht="33.950000000000003">
      <c r="A69" s="26"/>
      <c r="B69" s="2" t="s">
        <v>160</v>
      </c>
      <c r="C69" s="3" t="s">
        <v>161</v>
      </c>
      <c r="D69" s="5" t="s">
        <v>37</v>
      </c>
      <c r="E69" s="10"/>
      <c r="F69" s="15"/>
    </row>
    <row r="70" spans="1:6" ht="51">
      <c r="A70" s="24" t="s">
        <v>162</v>
      </c>
      <c r="B70" s="2" t="s">
        <v>163</v>
      </c>
      <c r="C70" s="3" t="s">
        <v>164</v>
      </c>
      <c r="D70" s="5" t="s">
        <v>24</v>
      </c>
      <c r="E70" s="10" t="s">
        <v>165</v>
      </c>
      <c r="F70" s="15"/>
    </row>
    <row r="71" spans="1:6" ht="33.950000000000003">
      <c r="A71" s="25"/>
      <c r="B71" s="2" t="s">
        <v>166</v>
      </c>
      <c r="C71" s="3" t="s">
        <v>167</v>
      </c>
      <c r="D71" s="5" t="s">
        <v>24</v>
      </c>
      <c r="E71" s="10" t="s">
        <v>168</v>
      </c>
      <c r="F71" s="15"/>
    </row>
    <row r="72" spans="1:6" ht="33.950000000000003">
      <c r="A72" s="25"/>
      <c r="B72" s="2" t="s">
        <v>169</v>
      </c>
      <c r="C72" s="3" t="s">
        <v>170</v>
      </c>
      <c r="D72" s="5" t="s">
        <v>24</v>
      </c>
      <c r="E72" s="10" t="s">
        <v>171</v>
      </c>
      <c r="F72" s="15"/>
    </row>
    <row r="73" spans="1:6" ht="51">
      <c r="A73" s="25"/>
      <c r="B73" s="2" t="s">
        <v>172</v>
      </c>
      <c r="C73" s="3" t="s">
        <v>173</v>
      </c>
      <c r="D73" s="5" t="s">
        <v>24</v>
      </c>
      <c r="E73" s="10" t="s">
        <v>174</v>
      </c>
      <c r="F73" s="15"/>
    </row>
    <row r="74" spans="1:6" ht="33.950000000000003">
      <c r="A74" s="25"/>
      <c r="B74" s="2" t="s">
        <v>175</v>
      </c>
      <c r="C74" s="3" t="s">
        <v>176</v>
      </c>
      <c r="D74" s="5" t="s">
        <v>24</v>
      </c>
      <c r="E74" s="17" t="s">
        <v>177</v>
      </c>
      <c r="F74" s="15"/>
    </row>
    <row r="75" spans="1:6" ht="33.950000000000003">
      <c r="A75" s="25"/>
      <c r="B75" s="2" t="s">
        <v>178</v>
      </c>
      <c r="C75" s="3" t="s">
        <v>179</v>
      </c>
      <c r="D75" s="5" t="s">
        <v>37</v>
      </c>
      <c r="E75" s="10"/>
      <c r="F75" s="15"/>
    </row>
    <row r="76" spans="1:6" ht="33.950000000000003">
      <c r="A76" s="25"/>
      <c r="B76" s="2" t="s">
        <v>180</v>
      </c>
      <c r="C76" s="3" t="s">
        <v>181</v>
      </c>
      <c r="D76" s="5" t="s">
        <v>37</v>
      </c>
      <c r="E76" s="10" t="s">
        <v>182</v>
      </c>
      <c r="F76" s="15"/>
    </row>
    <row r="77" spans="1:6" ht="33.950000000000003">
      <c r="A77" s="25"/>
      <c r="B77" s="2" t="s">
        <v>183</v>
      </c>
      <c r="C77" s="3" t="s">
        <v>184</v>
      </c>
      <c r="D77" s="5" t="s">
        <v>37</v>
      </c>
      <c r="E77" s="10"/>
      <c r="F77" s="15"/>
    </row>
    <row r="78" spans="1:6" ht="51">
      <c r="A78" s="25"/>
      <c r="B78" s="2" t="s">
        <v>185</v>
      </c>
      <c r="C78" s="3" t="s">
        <v>186</v>
      </c>
      <c r="D78" s="5" t="s">
        <v>37</v>
      </c>
      <c r="E78" s="10"/>
      <c r="F78" s="15"/>
    </row>
    <row r="79" spans="1:6" ht="51">
      <c r="A79" s="25"/>
      <c r="B79" s="2" t="s">
        <v>187</v>
      </c>
      <c r="C79" s="3" t="s">
        <v>188</v>
      </c>
      <c r="D79" s="5" t="s">
        <v>37</v>
      </c>
      <c r="E79" s="10"/>
      <c r="F79" s="15"/>
    </row>
    <row r="80" spans="1:6" ht="108">
      <c r="A80" s="25"/>
      <c r="B80" s="2" t="s">
        <v>189</v>
      </c>
      <c r="C80" s="3" t="s">
        <v>190</v>
      </c>
      <c r="D80" s="5" t="s">
        <v>28</v>
      </c>
      <c r="E80" s="10" t="s">
        <v>191</v>
      </c>
      <c r="F80" s="38" t="s">
        <v>192</v>
      </c>
    </row>
    <row r="81" spans="1:6" ht="119.1">
      <c r="A81" s="25"/>
      <c r="B81" s="2" t="s">
        <v>193</v>
      </c>
      <c r="C81" s="3" t="s">
        <v>194</v>
      </c>
      <c r="D81" s="5" t="s">
        <v>24</v>
      </c>
      <c r="E81" s="10" t="s">
        <v>195</v>
      </c>
      <c r="F81" s="15"/>
    </row>
    <row r="82" spans="1:6" ht="51">
      <c r="A82" s="25"/>
      <c r="B82" s="2" t="s">
        <v>196</v>
      </c>
      <c r="C82" s="3" t="s">
        <v>197</v>
      </c>
      <c r="D82" s="5" t="s">
        <v>37</v>
      </c>
      <c r="E82" s="10"/>
      <c r="F82" s="15"/>
    </row>
    <row r="83" spans="1:6" ht="51">
      <c r="A83" s="26"/>
      <c r="B83" s="2" t="s">
        <v>198</v>
      </c>
      <c r="C83" s="3" t="s">
        <v>199</v>
      </c>
      <c r="D83" s="5" t="s">
        <v>37</v>
      </c>
      <c r="E83" s="10"/>
      <c r="F83" s="15"/>
    </row>
    <row r="84" spans="1:6" ht="18.95">
      <c r="A84" s="24" t="s">
        <v>200</v>
      </c>
      <c r="B84" s="2" t="s">
        <v>201</v>
      </c>
      <c r="C84" s="3" t="s">
        <v>202</v>
      </c>
      <c r="D84" s="5" t="s">
        <v>37</v>
      </c>
      <c r="E84" s="10"/>
      <c r="F84" s="15"/>
    </row>
    <row r="85" spans="1:6" ht="33.950000000000003">
      <c r="A85" s="25"/>
      <c r="B85" s="2" t="s">
        <v>203</v>
      </c>
      <c r="C85" s="3" t="s">
        <v>204</v>
      </c>
      <c r="D85" s="5" t="s">
        <v>37</v>
      </c>
      <c r="E85" s="10"/>
      <c r="F85" s="15"/>
    </row>
    <row r="86" spans="1:6" ht="51">
      <c r="A86" s="25"/>
      <c r="B86" s="2" t="s">
        <v>205</v>
      </c>
      <c r="C86" s="3" t="s">
        <v>206</v>
      </c>
      <c r="D86" s="5" t="s">
        <v>37</v>
      </c>
      <c r="E86" s="10"/>
      <c r="F86" s="15"/>
    </row>
    <row r="87" spans="1:6" ht="33.950000000000003">
      <c r="A87" s="25"/>
      <c r="B87" s="2" t="s">
        <v>207</v>
      </c>
      <c r="C87" s="3" t="s">
        <v>208</v>
      </c>
      <c r="D87" s="5" t="s">
        <v>37</v>
      </c>
      <c r="E87" s="10"/>
      <c r="F87" s="15"/>
    </row>
    <row r="88" spans="1:6" ht="33.950000000000003">
      <c r="A88" s="25"/>
      <c r="B88" s="2" t="s">
        <v>209</v>
      </c>
      <c r="C88" s="3" t="s">
        <v>210</v>
      </c>
      <c r="D88" s="5" t="s">
        <v>37</v>
      </c>
      <c r="E88" s="10"/>
      <c r="F88" s="15"/>
    </row>
    <row r="89" spans="1:6" ht="33.950000000000003">
      <c r="A89" s="25"/>
      <c r="B89" s="2" t="s">
        <v>211</v>
      </c>
      <c r="C89" s="3" t="s">
        <v>212</v>
      </c>
      <c r="D89" s="5" t="s">
        <v>37</v>
      </c>
      <c r="E89" s="10"/>
      <c r="F89" s="15"/>
    </row>
    <row r="90" spans="1:6" ht="33.950000000000003">
      <c r="A90" s="25"/>
      <c r="B90" s="2" t="s">
        <v>213</v>
      </c>
      <c r="C90" s="3" t="s">
        <v>214</v>
      </c>
      <c r="D90" s="5" t="s">
        <v>37</v>
      </c>
      <c r="E90" s="10"/>
      <c r="F90" s="15"/>
    </row>
    <row r="91" spans="1:6" ht="33.950000000000003">
      <c r="A91" s="25"/>
      <c r="B91" s="2" t="s">
        <v>215</v>
      </c>
      <c r="C91" s="3" t="s">
        <v>216</v>
      </c>
      <c r="D91" s="5" t="s">
        <v>37</v>
      </c>
      <c r="E91" s="10"/>
      <c r="F91" s="15"/>
    </row>
    <row r="92" spans="1:6" ht="33.950000000000003">
      <c r="A92" s="25"/>
      <c r="B92" s="2" t="s">
        <v>217</v>
      </c>
      <c r="C92" s="3" t="s">
        <v>218</v>
      </c>
      <c r="D92" s="5" t="s">
        <v>37</v>
      </c>
      <c r="E92" s="10"/>
      <c r="F92" s="15"/>
    </row>
    <row r="93" spans="1:6" ht="33.950000000000003">
      <c r="A93" s="25"/>
      <c r="B93" s="2" t="s">
        <v>219</v>
      </c>
      <c r="C93" s="3" t="s">
        <v>220</v>
      </c>
      <c r="D93" s="5" t="s">
        <v>37</v>
      </c>
      <c r="E93" s="10"/>
      <c r="F93" s="15"/>
    </row>
    <row r="94" spans="1:6" ht="33.950000000000003">
      <c r="A94" s="25"/>
      <c r="B94" s="2" t="s">
        <v>221</v>
      </c>
      <c r="C94" s="3" t="s">
        <v>222</v>
      </c>
      <c r="D94" s="5" t="s">
        <v>37</v>
      </c>
      <c r="E94" s="10"/>
      <c r="F94" s="15"/>
    </row>
    <row r="95" spans="1:6" ht="84.95">
      <c r="A95" s="25"/>
      <c r="B95" s="2" t="s">
        <v>223</v>
      </c>
      <c r="C95" s="3" t="s">
        <v>224</v>
      </c>
      <c r="D95" s="5" t="s">
        <v>37</v>
      </c>
      <c r="E95" s="10"/>
      <c r="F95" s="15"/>
    </row>
    <row r="96" spans="1:6" ht="33.950000000000003">
      <c r="A96" s="26"/>
      <c r="B96" s="2" t="s">
        <v>225</v>
      </c>
      <c r="C96" s="3" t="s">
        <v>226</v>
      </c>
      <c r="D96" s="5" t="s">
        <v>37</v>
      </c>
      <c r="E96" s="10"/>
      <c r="F96" s="15"/>
    </row>
    <row r="97" spans="1:6" ht="33.950000000000003">
      <c r="A97" s="24" t="s">
        <v>227</v>
      </c>
      <c r="B97" s="2" t="s">
        <v>228</v>
      </c>
      <c r="C97" s="3" t="s">
        <v>229</v>
      </c>
      <c r="D97" s="5" t="s">
        <v>37</v>
      </c>
      <c r="E97" s="10"/>
      <c r="F97" s="15"/>
    </row>
    <row r="98" spans="1:6" ht="33.950000000000003">
      <c r="A98" s="25"/>
      <c r="B98" s="2" t="s">
        <v>230</v>
      </c>
      <c r="C98" s="3" t="s">
        <v>231</v>
      </c>
      <c r="D98" s="5" t="s">
        <v>37</v>
      </c>
      <c r="E98" s="10"/>
      <c r="F98" s="15"/>
    </row>
    <row r="99" spans="1:6" ht="18.95">
      <c r="A99" s="25"/>
      <c r="B99" s="2" t="s">
        <v>232</v>
      </c>
      <c r="C99" s="3" t="s">
        <v>233</v>
      </c>
      <c r="D99" s="5" t="s">
        <v>37</v>
      </c>
      <c r="E99" s="10"/>
      <c r="F99" s="15"/>
    </row>
    <row r="100" spans="1:6" ht="33.950000000000003">
      <c r="A100" s="25"/>
      <c r="B100" s="2" t="s">
        <v>234</v>
      </c>
      <c r="C100" s="3" t="s">
        <v>235</v>
      </c>
      <c r="D100" s="5" t="s">
        <v>37</v>
      </c>
      <c r="E100" s="10"/>
      <c r="F100" s="15"/>
    </row>
    <row r="101" spans="1:6" ht="33.950000000000003">
      <c r="A101" s="25"/>
      <c r="B101" s="2" t="s">
        <v>236</v>
      </c>
      <c r="C101" s="3" t="s">
        <v>237</v>
      </c>
      <c r="D101" s="5" t="s">
        <v>37</v>
      </c>
      <c r="E101" s="10"/>
      <c r="F101" s="15"/>
    </row>
    <row r="102" spans="1:6" ht="68.099999999999994">
      <c r="A102" s="25"/>
      <c r="B102" s="2" t="s">
        <v>238</v>
      </c>
      <c r="C102" s="3" t="s">
        <v>239</v>
      </c>
      <c r="D102" s="5" t="s">
        <v>37</v>
      </c>
      <c r="E102" s="10"/>
      <c r="F102" s="15"/>
    </row>
    <row r="103" spans="1:6" ht="33.950000000000003">
      <c r="A103" s="25"/>
      <c r="B103" s="2" t="s">
        <v>240</v>
      </c>
      <c r="C103" s="3" t="s">
        <v>241</v>
      </c>
      <c r="D103" s="5" t="s">
        <v>37</v>
      </c>
      <c r="E103" s="10"/>
      <c r="F103" s="15"/>
    </row>
    <row r="104" spans="1:6" ht="18.95">
      <c r="A104" s="25"/>
      <c r="B104" s="2" t="s">
        <v>242</v>
      </c>
      <c r="C104" s="3" t="s">
        <v>243</v>
      </c>
      <c r="D104" s="5" t="s">
        <v>24</v>
      </c>
      <c r="E104" s="10" t="s">
        <v>244</v>
      </c>
      <c r="F104" s="15"/>
    </row>
    <row r="105" spans="1:6" ht="33.950000000000003">
      <c r="A105" s="25"/>
      <c r="B105" s="2" t="s">
        <v>245</v>
      </c>
      <c r="C105" s="3" t="s">
        <v>246</v>
      </c>
      <c r="D105" s="5" t="s">
        <v>24</v>
      </c>
      <c r="E105" s="10" t="s">
        <v>247</v>
      </c>
      <c r="F105" s="15"/>
    </row>
    <row r="106" spans="1:6" ht="51">
      <c r="A106" s="25"/>
      <c r="B106" s="2" t="s">
        <v>248</v>
      </c>
      <c r="C106" s="3" t="s">
        <v>249</v>
      </c>
      <c r="D106" s="5" t="s">
        <v>37</v>
      </c>
      <c r="E106" s="10"/>
      <c r="F106" s="15"/>
    </row>
    <row r="107" spans="1:6" ht="51">
      <c r="A107" s="26"/>
      <c r="B107" s="2" t="s">
        <v>250</v>
      </c>
      <c r="C107" s="3" t="s">
        <v>251</v>
      </c>
      <c r="D107" s="5" t="s">
        <v>37</v>
      </c>
      <c r="E107" s="10"/>
      <c r="F107" s="15"/>
    </row>
    <row r="108" spans="1:6" ht="33.950000000000003">
      <c r="A108" s="24" t="s">
        <v>252</v>
      </c>
      <c r="B108" s="2" t="s">
        <v>253</v>
      </c>
      <c r="C108" s="3" t="s">
        <v>254</v>
      </c>
      <c r="D108" s="5" t="s">
        <v>37</v>
      </c>
      <c r="E108" s="10"/>
      <c r="F108" s="15"/>
    </row>
    <row r="109" spans="1:6" ht="51">
      <c r="A109" s="25"/>
      <c r="B109" s="2" t="s">
        <v>255</v>
      </c>
      <c r="C109" s="3" t="s">
        <v>256</v>
      </c>
      <c r="D109" s="5" t="s">
        <v>37</v>
      </c>
      <c r="E109" s="10"/>
      <c r="F109" s="15"/>
    </row>
    <row r="110" spans="1:6" ht="51">
      <c r="A110" s="25"/>
      <c r="B110" s="2" t="s">
        <v>257</v>
      </c>
      <c r="C110" s="3" t="s">
        <v>258</v>
      </c>
      <c r="D110" s="5" t="s">
        <v>37</v>
      </c>
      <c r="E110" s="10"/>
      <c r="F110" s="15"/>
    </row>
    <row r="111" spans="1:6" ht="33.950000000000003">
      <c r="A111" s="25"/>
      <c r="B111" s="2" t="s">
        <v>259</v>
      </c>
      <c r="C111" s="3" t="s">
        <v>260</v>
      </c>
      <c r="D111" s="5" t="s">
        <v>37</v>
      </c>
      <c r="E111" s="10"/>
      <c r="F111" s="15"/>
    </row>
    <row r="112" spans="1:6" ht="33.950000000000003">
      <c r="A112" s="25"/>
      <c r="B112" s="2" t="s">
        <v>261</v>
      </c>
      <c r="C112" s="3" t="s">
        <v>262</v>
      </c>
      <c r="D112" s="5" t="s">
        <v>37</v>
      </c>
      <c r="E112" s="10"/>
      <c r="F112" s="15"/>
    </row>
    <row r="113" spans="1:6" ht="51">
      <c r="A113" s="25"/>
      <c r="B113" s="2" t="s">
        <v>263</v>
      </c>
      <c r="C113" s="3" t="s">
        <v>264</v>
      </c>
      <c r="D113" s="5" t="s">
        <v>37</v>
      </c>
      <c r="E113" s="10"/>
      <c r="F113" s="15"/>
    </row>
    <row r="114" spans="1:6" ht="33.950000000000003">
      <c r="A114" s="25"/>
      <c r="B114" s="2" t="s">
        <v>265</v>
      </c>
      <c r="C114" s="3" t="s">
        <v>266</v>
      </c>
      <c r="D114" s="5" t="s">
        <v>37</v>
      </c>
      <c r="E114" s="10"/>
      <c r="F114" s="15"/>
    </row>
    <row r="115" spans="1:6" ht="33.950000000000003">
      <c r="A115" s="25"/>
      <c r="B115" s="2" t="s">
        <v>267</v>
      </c>
      <c r="C115" s="3" t="s">
        <v>268</v>
      </c>
      <c r="D115" s="5" t="s">
        <v>37</v>
      </c>
      <c r="E115" s="10"/>
      <c r="F115" s="15"/>
    </row>
    <row r="116" spans="1:6" ht="33.950000000000003">
      <c r="A116" s="25"/>
      <c r="B116" s="2" t="s">
        <v>269</v>
      </c>
      <c r="C116" s="3" t="s">
        <v>270</v>
      </c>
      <c r="D116" s="5" t="s">
        <v>37</v>
      </c>
      <c r="E116" s="10"/>
      <c r="F116" s="15"/>
    </row>
    <row r="117" spans="1:6" ht="51">
      <c r="A117" s="25"/>
      <c r="B117" s="2" t="s">
        <v>271</v>
      </c>
      <c r="C117" s="3" t="s">
        <v>272</v>
      </c>
      <c r="D117" s="5" t="s">
        <v>37</v>
      </c>
      <c r="E117" s="10"/>
      <c r="F117" s="15"/>
    </row>
    <row r="118" spans="1:6" ht="51">
      <c r="A118" s="25"/>
      <c r="B118" s="2" t="s">
        <v>273</v>
      </c>
      <c r="C118" s="3" t="s">
        <v>274</v>
      </c>
      <c r="D118" s="5" t="s">
        <v>37</v>
      </c>
      <c r="E118" s="10"/>
      <c r="F118" s="15"/>
    </row>
    <row r="119" spans="1:6" ht="51">
      <c r="A119" s="26"/>
      <c r="B119" s="2" t="s">
        <v>275</v>
      </c>
      <c r="C119" s="3" t="s">
        <v>276</v>
      </c>
      <c r="D119" s="5" t="s">
        <v>37</v>
      </c>
      <c r="E119" s="10"/>
      <c r="F119" s="15"/>
    </row>
    <row r="123" spans="1:6">
      <c r="A123" s="19" t="s">
        <v>277</v>
      </c>
      <c r="B123" s="19"/>
      <c r="C123" s="19"/>
      <c r="D123" s="19"/>
      <c r="E123" s="9" t="s">
        <v>278</v>
      </c>
    </row>
    <row r="124" spans="1:6" ht="33.950000000000003">
      <c r="A124" s="20" t="s">
        <v>279</v>
      </c>
      <c r="B124" s="20"/>
      <c r="C124" s="20"/>
      <c r="D124" s="20"/>
      <c r="E124" s="11" t="s">
        <v>280</v>
      </c>
    </row>
    <row r="125" spans="1:6" ht="51">
      <c r="A125" s="21" t="s">
        <v>281</v>
      </c>
      <c r="B125" s="22"/>
      <c r="C125" s="22"/>
      <c r="D125" s="23"/>
      <c r="E125" s="11" t="s">
        <v>282</v>
      </c>
    </row>
    <row r="126" spans="1:6" ht="33.950000000000003">
      <c r="A126" s="21" t="s">
        <v>283</v>
      </c>
      <c r="B126" s="22"/>
      <c r="C126" s="22"/>
      <c r="D126" s="23"/>
      <c r="E126" s="11" t="s">
        <v>284</v>
      </c>
    </row>
  </sheetData>
  <mergeCells count="28">
    <mergeCell ref="A97:A107"/>
    <mergeCell ref="A14:A22"/>
    <mergeCell ref="A1:D1"/>
    <mergeCell ref="A2:C2"/>
    <mergeCell ref="A3:C3"/>
    <mergeCell ref="A4:C4"/>
    <mergeCell ref="A5:C5"/>
    <mergeCell ref="A6:C6"/>
    <mergeCell ref="A7:C7"/>
    <mergeCell ref="A8:C8"/>
    <mergeCell ref="A9:C9"/>
    <mergeCell ref="A10:C10"/>
    <mergeCell ref="A11:C11"/>
    <mergeCell ref="A51:A55"/>
    <mergeCell ref="A56:A65"/>
    <mergeCell ref="A66:A69"/>
    <mergeCell ref="A70:A83"/>
    <mergeCell ref="A84:A96"/>
    <mergeCell ref="A23:A24"/>
    <mergeCell ref="A25:A27"/>
    <mergeCell ref="A28:A40"/>
    <mergeCell ref="A41:A48"/>
    <mergeCell ref="A49:A50"/>
    <mergeCell ref="A123:D123"/>
    <mergeCell ref="A124:D124"/>
    <mergeCell ref="A125:D125"/>
    <mergeCell ref="A126:D126"/>
    <mergeCell ref="A108:A119"/>
  </mergeCells>
  <conditionalFormatting sqref="D70:D75">
    <cfRule type="expression" dxfId="19" priority="21">
      <formula>$D70="Non testé"</formula>
    </cfRule>
    <cfRule type="expression" dxfId="18" priority="22">
      <formula>$D70="Dérogé"</formula>
    </cfRule>
    <cfRule type="expression" dxfId="17" priority="23">
      <formula>$D70="Conforme"</formula>
    </cfRule>
    <cfRule type="expression" dxfId="16" priority="24">
      <formula>$D70="Non conforme"</formula>
    </cfRule>
  </conditionalFormatting>
  <conditionalFormatting sqref="D14:E69">
    <cfRule type="expression" dxfId="15" priority="17">
      <formula>$D14="Non testé"</formula>
    </cfRule>
    <cfRule type="expression" dxfId="14" priority="18">
      <formula>$D14="Dérogé"</formula>
    </cfRule>
    <cfRule type="expression" dxfId="13" priority="19">
      <formula>$D14="Conforme"</formula>
    </cfRule>
    <cfRule type="expression" dxfId="12" priority="20">
      <formula>$D14="Non conforme"</formula>
    </cfRule>
  </conditionalFormatting>
  <conditionalFormatting sqref="D76:E119">
    <cfRule type="expression" dxfId="11" priority="1">
      <formula>$D76="Non testé"</formula>
    </cfRule>
    <cfRule type="expression" dxfId="10" priority="2">
      <formula>$D76="Dérogé"</formula>
    </cfRule>
    <cfRule type="expression" dxfId="9" priority="3">
      <formula>$D76="Conforme"</formula>
    </cfRule>
    <cfRule type="expression" dxfId="8" priority="4">
      <formula>$D76="Non conforme"</formula>
    </cfRule>
  </conditionalFormatting>
  <conditionalFormatting sqref="E70:E73">
    <cfRule type="expression" dxfId="7" priority="25">
      <formula>$D70="Non testé"</formula>
    </cfRule>
    <cfRule type="expression" dxfId="6" priority="26">
      <formula>$D70="Dérogé"</formula>
    </cfRule>
    <cfRule type="expression" dxfId="5" priority="27">
      <formula>$D70="Conforme"</formula>
    </cfRule>
    <cfRule type="expression" dxfId="4" priority="28">
      <formula>$D70="Non conforme"</formula>
    </cfRule>
  </conditionalFormatting>
  <conditionalFormatting sqref="E75">
    <cfRule type="expression" dxfId="3" priority="37">
      <formula>$D75="Non testé"</formula>
    </cfRule>
    <cfRule type="expression" dxfId="2" priority="38">
      <formula>$D75="Dérogé"</formula>
    </cfRule>
    <cfRule type="expression" dxfId="1" priority="39">
      <formula>$D75="Conforme"</formula>
    </cfRule>
    <cfRule type="expression" dxfId="0" priority="40">
      <formula>$D75="Non conforme"</formula>
    </cfRule>
  </conditionalFormatting>
  <dataValidations count="1">
    <dataValidation type="list" allowBlank="1" showInputMessage="1" showErrorMessage="1" sqref="D14:D119" xr:uid="{976C92AF-CA0F-C442-8F18-8AD1324F1DC5}">
      <formula1>"Conforme,Non conforme,Non applicable,Dérogé,Non testé"</formula1>
    </dataValidation>
  </dataValidations>
  <pageMargins left="0.7" right="0.7" top="0.75" bottom="0.75" header="0.3" footer="0.3"/>
  <pageSetup paperSize="9"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Julien Roche</dc:creator>
  <cp:keywords/>
  <dc:description/>
  <cp:lastModifiedBy/>
  <cp:revision/>
  <dcterms:created xsi:type="dcterms:W3CDTF">2025-03-05T16:22:31Z</dcterms:created>
  <dcterms:modified xsi:type="dcterms:W3CDTF">2025-07-22T14:33:21Z</dcterms:modified>
  <cp:category/>
  <cp:contentStatus/>
</cp:coreProperties>
</file>
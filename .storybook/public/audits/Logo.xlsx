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go" sheetId="1" r:id="rId4"/>
  </sheets>
  <definedNames/>
  <calcPr/>
</workbook>
</file>

<file path=xl/sharedStrings.xml><?xml version="1.0" encoding="utf-8"?>
<sst xmlns="http://schemas.openxmlformats.org/spreadsheetml/2006/main" count="361" uniqueCount="255">
  <si>
    <t>Composant : Logo</t>
  </si>
  <si>
    <t>Date</t>
  </si>
  <si>
    <t>Version</t>
  </si>
  <si>
    <t>0.0.14-alpha</t>
  </si>
  <si>
    <t>1.0.2</t>
  </si>
  <si>
    <t>Nombre de critères conformes</t>
  </si>
  <si>
    <t>Nombre de critères non conformes</t>
  </si>
  <si>
    <t>Nombre de critères non applicable</t>
  </si>
  <si>
    <t>Nombre de critères dérogés</t>
  </si>
  <si>
    <t>Nombre de critères non testés</t>
  </si>
  <si>
    <t>Pourcentage de conformité</t>
  </si>
  <si>
    <t>Pourcentage de non-conformité</t>
  </si>
  <si>
    <t>Thématique</t>
  </si>
  <si>
    <t>N° critère</t>
  </si>
  <si>
    <t>Recommandation</t>
  </si>
  <si>
    <t>Conformité</t>
  </si>
  <si>
    <t>Description de l'erreur / Remarques / Questions</t>
  </si>
  <si>
    <t>IMAGES</t>
  </si>
  <si>
    <t>1.1</t>
  </si>
  <si>
    <t>Chaque image porteuse d’information a-t-elle une alternative textuelle ?</t>
  </si>
  <si>
    <t>Conforme</t>
  </si>
  <si>
    <t>Le logo possède un attribut aria-label et une balise role="img"</t>
  </si>
  <si>
    <t>1.2</t>
  </si>
  <si>
    <t>Chaque image de décoration est-elle correctement ignorée par les technologies d’assistance ?</t>
  </si>
  <si>
    <t>Non applicable</t>
  </si>
  <si>
    <t>1.3</t>
  </si>
  <si>
    <t>Pour chaque image porteuse d'information ayant une alternative textuelle, cette alternative est-elle pertinente (hors cas particuliers) ?</t>
  </si>
  <si>
    <t>Le logo possède bien un aria-label qui reprend la totalité du texte inscrit : "Sécurité sociale, l’Assurance Maladie : Agir ensemble, protéger chacun"</t>
  </si>
  <si>
    <t>1.4</t>
  </si>
  <si>
    <t>Pour chaque image utilisée comme CAPTCHA ou comme image-test, ayant une alternative textuelle, cette alternative permet-elle d’identifier la nature et la fonction de l’image ?</t>
  </si>
  <si>
    <t>1.5</t>
  </si>
  <si>
    <t>Pour chaque image utilisée comme CAPTCHA, une solution d’accès alternatif au contenu ou à la fonction du CAPTCHA est-elle présente ?</t>
  </si>
  <si>
    <t>1.6</t>
  </si>
  <si>
    <t>Chaque image porteuse d’information a-t-elle, si nécessaire, une description détaillée ?</t>
  </si>
  <si>
    <t>1.7</t>
  </si>
  <si>
    <t>Pour chaque image porteuse d’information ayant une description détaillée, cette description est-elle pertinente ?</t>
  </si>
  <si>
    <t>1.8</t>
  </si>
  <si>
    <t>Chaque image texte porteuse d’information, en l’absence d’un mécanisme de remplacement, doit si possible être remplacée par du texte stylé. Cette règle est-elle respectée (hors cas particuliers) ?</t>
  </si>
  <si>
    <t>1.9</t>
  </si>
  <si>
    <t>Chaque légende d’image est-elle, si nécessaire, correctement reliée à l’image correspondante ?</t>
  </si>
  <si>
    <t>CADRES</t>
  </si>
  <si>
    <t>2.1</t>
  </si>
  <si>
    <t>Chaque cadre a-t-il un titre de cadre ?</t>
  </si>
  <si>
    <t>2.2</t>
  </si>
  <si>
    <t>Pour chaque cadre ayant un titre de cadre, ce titre de cadre est-il pertinent ?</t>
  </si>
  <si>
    <t>COULEURS</t>
  </si>
  <si>
    <t>3.1</t>
  </si>
  <si>
    <t>Dans chaque page web, l’information ne doit pas être donnée uniquement par la couleur. Cette règle est-elle respectée ?</t>
  </si>
  <si>
    <t>3.2</t>
  </si>
  <si>
    <t>Dans chaque page web, le contraste entre la couleur du texte et la couleur de son arrière-plan est-il suffisamment élevé (hors cas particuliers) ?</t>
  </si>
  <si>
    <t>Non applicable car il s'agit des exceptions = logo d'un organisme</t>
  </si>
  <si>
    <t>3.3</t>
  </si>
  <si>
    <t>Dans chaque page web, les couleurs utilisées dans les composants d’interface ou les éléments graphiques porteurs d’informations sont-elles suffisamment contrastées (hors cas particuliers) ?</t>
  </si>
  <si>
    <t>MULTIMÉDIA</t>
  </si>
  <si>
    <t>4.1</t>
  </si>
  <si>
    <t>Chaque média temporel pré-enregistré a-t-il, si nécessaire, une transcription textuelle ou une audiodescription (hors cas particuliers) ?</t>
  </si>
  <si>
    <t>4.2</t>
  </si>
  <si>
    <t>Pour chaque média temporel pré-enregistré ayant une transcription textuelle ou une audiodescription synchronisée, celles-ci sont-elles pertinentes (hors cas particuliers) ?</t>
  </si>
  <si>
    <t>4.3</t>
  </si>
  <si>
    <t>Chaque média temporel synchronisé pré-enregistré a-t-il, si nécessaire, des sous-titres synchronisés (hors cas particuliers) ?</t>
  </si>
  <si>
    <t>4.4</t>
  </si>
  <si>
    <t>Pour chaque média temporel synchronisé pré-enregistré ayant des sous-titres synchronisés, ces sous-titres sont-ils pertinents ?</t>
  </si>
  <si>
    <t>4.5</t>
  </si>
  <si>
    <t>Chaque média temporel pré-enregistré a-t-il, si nécessaire, une audiodescription synchronisée (hors cas particuliers) ?</t>
  </si>
  <si>
    <t>4.6</t>
  </si>
  <si>
    <t>Pour chaque média temporel pré-enregistré ayant une audiodescription synchronisée, celle-ci est-elle pertinente ?</t>
  </si>
  <si>
    <t>4.7</t>
  </si>
  <si>
    <t>Chaque média temporel est-il clairement identifiable (hors cas particuliers) ?</t>
  </si>
  <si>
    <t>4.8</t>
  </si>
  <si>
    <t>Chaque média non temporel a-t-il, si nécessaire, une alternative (hors cas particuliers) ?</t>
  </si>
  <si>
    <t>4.9</t>
  </si>
  <si>
    <t>Pour chaque média non temporel ayant une alternative, cette alternative est-elle pertinente ?</t>
  </si>
  <si>
    <t>4.10</t>
  </si>
  <si>
    <t>Chaque son déclenché automatiquement est-il contrôlable par l’utilisateur ?</t>
  </si>
  <si>
    <t>4.11</t>
  </si>
  <si>
    <t>La consultation de chaque média temporel est-elle, si nécessaire, contrôlable par le clavier et tout dispositif de pointage ?</t>
  </si>
  <si>
    <t>4.12</t>
  </si>
  <si>
    <t>La consultation de chaque média non temporel est-elle contrôlable par le clavier et tout dispositif de pointage ?</t>
  </si>
  <si>
    <t>4.13</t>
  </si>
  <si>
    <t>Chaque média temporel et non temporel est-il compatible avec les technologies d’assistance (hors cas particuliers) ?</t>
  </si>
  <si>
    <t>TABLEAUX</t>
  </si>
  <si>
    <t>5.1</t>
  </si>
  <si>
    <t>Chaque tableau de données complexe a-t-il un résumé ?</t>
  </si>
  <si>
    <t>5.2</t>
  </si>
  <si>
    <t>Pour chaque tableau de données complexe ayant un résumé, celui-ci est-il pertinent ?</t>
  </si>
  <si>
    <t>5.3</t>
  </si>
  <si>
    <t>Pour chaque tableau de mise en forme, le contenu linéarisé reste-t-il compréhensible ?</t>
  </si>
  <si>
    <t>5.4</t>
  </si>
  <si>
    <t>Pour chaque tableau de données ayant un titre, le titre est-il correctement associé au tableau de données ?</t>
  </si>
  <si>
    <t>5.5</t>
  </si>
  <si>
    <t>Pour chaque tableau de données ayant un titre, celui-ci est-il pertinent ?</t>
  </si>
  <si>
    <t>5.6</t>
  </si>
  <si>
    <t>Pour chaque tableau de données, chaque en-tête de colonnes et chaque en-tête de lignes sont-ils correctement déclarés ?</t>
  </si>
  <si>
    <t>5.7</t>
  </si>
  <si>
    <t>Pour chaque tableau de données, la technique appropriée permettant d’associer chaque cellule avec ses en-têtes est-elle utilisée (hors cas particuliers) ?</t>
  </si>
  <si>
    <t>5.8</t>
  </si>
  <si>
    <t>Chaque tableau de mise en forme ne doit pas utiliser d’éléments propres aux tableaux de données. Cette règle est-elle respectée ?</t>
  </si>
  <si>
    <t>LIENS</t>
  </si>
  <si>
    <t>6.1</t>
  </si>
  <si>
    <t>Chaque lien est-il explicite (hors cas particuliers) ?</t>
  </si>
  <si>
    <t>6.2</t>
  </si>
  <si>
    <t>Dans chaque page web, chaque lien a-t-il un intitulé ?</t>
  </si>
  <si>
    <t>SCRIPTS</t>
  </si>
  <si>
    <t>7.1</t>
  </si>
  <si>
    <t>Chaque script est-il, si nécessaire, compatible avec les technologies d’assistance ?</t>
  </si>
  <si>
    <t>Aucun problème de restitution de l'image et de son nom accessible</t>
  </si>
  <si>
    <t>7.2</t>
  </si>
  <si>
    <t>Pour chaque script ayant une alternative, cette alternative est-elle pertinente ?</t>
  </si>
  <si>
    <t>7.3</t>
  </si>
  <si>
    <t>Chaque script est-il contrôlable par le clavier et par tout dispositif de pointage (hors cas particuliers) ?</t>
  </si>
  <si>
    <t>7.4</t>
  </si>
  <si>
    <t>Pour chaque script qui initie un changement de contexte, l’utilisateur est-il averti ou en a-t-il le contrôle ?</t>
  </si>
  <si>
    <t>7.5</t>
  </si>
  <si>
    <t>Dans chaque page web, les messages de statut sont-ils correctement restitués par les technologies d’assistance ?</t>
  </si>
  <si>
    <t>ÉLÉMENTS OBLIGATOIRES</t>
  </si>
  <si>
    <t>8.1</t>
  </si>
  <si>
    <t>Chaque page web est-elle définie par un type de document ?</t>
  </si>
  <si>
    <t>8.2</t>
  </si>
  <si>
    <t>Pour chaque page web, le code source généré est-il valide selon le type de document spécifié (hors cas particuliers) ?</t>
  </si>
  <si>
    <t>Validé sur le validateur HTML W3C</t>
  </si>
  <si>
    <t>8.3</t>
  </si>
  <si>
    <t>Dans chaque page web, la langue par défaut est-elle présente ?</t>
  </si>
  <si>
    <t>8.4</t>
  </si>
  <si>
    <t>Pour chaque page web ayant une langue par défaut, le code de langue est-il pertinent ?</t>
  </si>
  <si>
    <t>8.5</t>
  </si>
  <si>
    <t>Chaque page web a-t-elle un titre de page ?</t>
  </si>
  <si>
    <t>8.6</t>
  </si>
  <si>
    <t>Pour chaque page web ayant un titre de page, ce titre est-il pertinent ?</t>
  </si>
  <si>
    <t>8.7</t>
  </si>
  <si>
    <t>Dans chaque page web, chaque changement de langue est-il indiqué dans le code source (hors cas particuliers) ?</t>
  </si>
  <si>
    <t>8.8</t>
  </si>
  <si>
    <t>Dans chaque page web, le code de langue de chaque changement de langue est-il valide et pertinent ?</t>
  </si>
  <si>
    <t>8.9</t>
  </si>
  <si>
    <t>Dans chaque page web, les balises ne doivent pas être utilisées uniquement à des fins de présentation. Cette règle est-elle respectée ?</t>
  </si>
  <si>
    <t>8.10</t>
  </si>
  <si>
    <t>Dans chaque page web, les changements du sens de lecture sont-ils signalés ?</t>
  </si>
  <si>
    <t>STRUCTURATION</t>
  </si>
  <si>
    <t>9.1</t>
  </si>
  <si>
    <t>Dans chaque page web, l’information est-elle structurée par l’utilisation appropriée de titres ?</t>
  </si>
  <si>
    <t>9.2</t>
  </si>
  <si>
    <t>Dans chaque page web, la structure du document est-elle cohérente (hors cas particuliers) ?</t>
  </si>
  <si>
    <t>9.3</t>
  </si>
  <si>
    <t>Dans chaque page web, chaque liste est-elle correctement structurée ?</t>
  </si>
  <si>
    <t>9.4</t>
  </si>
  <si>
    <t>Dans chaque page web, chaque citation est-elle correctement indiquée ?</t>
  </si>
  <si>
    <t>PRÉSENTATION</t>
  </si>
  <si>
    <t>10.1</t>
  </si>
  <si>
    <t>Dans le site web, des feuilles de styles sont-elles utilisées pour contrôler la présentation de l’information ?</t>
  </si>
  <si>
    <t>Testé avec Assistant RGAA</t>
  </si>
  <si>
    <t>10.2</t>
  </si>
  <si>
    <t>Dans chaque page web, le contenu visible porteur d’information reste-t-il présent lorsque les feuilles de styles sont désactivées ?</t>
  </si>
  <si>
    <t>10.3</t>
  </si>
  <si>
    <t>Dans chaque page web, l’information reste-t-elle compréhensible lorsque les feuilles de styles sont désactivées ?</t>
  </si>
  <si>
    <t>L'information reste compréhensible, le composant concerné n'est qu'une balise SVG</t>
  </si>
  <si>
    <t>10.4</t>
  </si>
  <si>
    <t>Dans chaque page web, le texte reste-t-il lisible lorsque la taille des caractères est augmentée jusqu’à 200%, au moins (hors cas particuliers) ?</t>
  </si>
  <si>
    <t>Aucun soucis, testé en zoom 200% écran et texte seulement</t>
  </si>
  <si>
    <t>10.5</t>
  </si>
  <si>
    <t>Dans chaque page web, les déclarations CSS de couleurs de fond d’élément et de police sont-elles correctement utilisées ?</t>
  </si>
  <si>
    <t>10.6</t>
  </si>
  <si>
    <t>Dans chaque page web, chaque lien dont la nature n’est pas évidente est-il visible par rapport au texte environnant ?</t>
  </si>
  <si>
    <t>10.7</t>
  </si>
  <si>
    <t>Dans chaque page web, pour chaque élément recevant le focus, la prise de focus est-elle visible ?</t>
  </si>
  <si>
    <t>10.8</t>
  </si>
  <si>
    <t>Pour chaque page web, les contenus cachés ont-ils vocation à être ignorés par les technologies d’assistance ?</t>
  </si>
  <si>
    <t>10.9</t>
  </si>
  <si>
    <t>Dans chaque page web, l’information ne doit pas être donnée uniquement par la forme, taille ou position. Cette règle est-elle respectée ?</t>
  </si>
  <si>
    <t>10.10</t>
  </si>
  <si>
    <t>Dans chaque page web, l’information ne doit pas être donnée par la forme, taille ou position uniquement. Cette règle est-elle implémentée de façon pertinente ?</t>
  </si>
  <si>
    <t>10.11</t>
  </si>
  <si>
    <t>Pour chaque page web, les contenus peuvent-ils être présentés sans perte d’information ou de fonctionnalité et sans avoir recours soit à un défilement vertical pour une fenêtre ayant une hauteur de 256 px, soit à un défilement horizontal pour une fenêtre ayant une largeur de 320 px (hors cas particuliers) ?</t>
  </si>
  <si>
    <t>Aucun soucis de restitution du logo selon les paramètres definis</t>
  </si>
  <si>
    <t>10.12</t>
  </si>
  <si>
    <t>Dans chaque page web, les propriétés d’espacement du texte peuvent-elles être redéfinies par l’utilisateur sans perte de contenu ou de fonctionnalité (hors cas particuliers) ?</t>
  </si>
  <si>
    <t>10.13</t>
  </si>
  <si>
    <t>Dans chaque page web, les contenus additionnels apparaissant à la prise de focus ou au survol d’un composant d’interface sont-ils contrôlables par l’utilisateur (hors cas particuliers) ?</t>
  </si>
  <si>
    <t>10.14</t>
  </si>
  <si>
    <t>Dans chaque page web, les contenus additionnels apparaissant via les styles CSS uniquement peuvent-ils être rendus visibles au clavier et par tout dispositif de pointage ?</t>
  </si>
  <si>
    <t>FORMULAIRES</t>
  </si>
  <si>
    <t>11.1</t>
  </si>
  <si>
    <t>Chaque champ de formulaire a-t-il une étiquette ?</t>
  </si>
  <si>
    <t>11.2</t>
  </si>
  <si>
    <t>Chaque étiquette associée à un champ de formulaire est-elle pertinente (hors cas particuliers) ?</t>
  </si>
  <si>
    <t>11.3</t>
  </si>
  <si>
    <t>Dans chaque formulaire, chaque étiquette associée à un champ de formulaire ayant la même fonction et répété plusieurs fois dans une même page ou dans un ensemble de pages est-elle cohérente ?</t>
  </si>
  <si>
    <t>11.4</t>
  </si>
  <si>
    <t>Dans chaque formulaire, chaque étiquette de champ et son champ associé sont-ils accolés (hors cas particuliers) ?</t>
  </si>
  <si>
    <t>11.5</t>
  </si>
  <si>
    <t>Dans chaque formulaire, les champs de même nature sont-ils regroupés, si nécessaire ?</t>
  </si>
  <si>
    <t>11.6</t>
  </si>
  <si>
    <t>Dans chaque formulaire, chaque regroupement de champs de même nature a-t-il une légende ?</t>
  </si>
  <si>
    <t>11.7</t>
  </si>
  <si>
    <t>Dans chaque formulaire, chaque légende associée à un regroupement de champs de même nature est-elle pertinente ?</t>
  </si>
  <si>
    <t>11.8</t>
  </si>
  <si>
    <t>Dans chaque formulaire, les items de même nature d’une liste de choix sont-ils regroupées de manière pertinente ?</t>
  </si>
  <si>
    <t>11.9</t>
  </si>
  <si>
    <t>Dans chaque formulaire, l’intitulé de chaque bouton est-il pertinent (hors cas particuliers) ?</t>
  </si>
  <si>
    <t>11.10</t>
  </si>
  <si>
    <t>Dans chaque formulaire, le contrôle de saisie est-il utilisé de manière pertinente (hors cas particuliers) ?</t>
  </si>
  <si>
    <t>11.11</t>
  </si>
  <si>
    <t>Dans chaque formulaire, le contrôle de saisie est-il accompagné, si nécessaire, de suggestions facilitant la correction des erreurs de saisie ?</t>
  </si>
  <si>
    <t>11.12</t>
  </si>
  <si>
    <t>Pour chaque formulaire qui modifie ou supprime des données, ou qui transmet des réponses à un test ou à un examen, ou dont la validation a des conséquences financières ou juridiques, les données saisies peuvent-elles être modifiées, mises à jour ou récupérées par l’utilisateur ?</t>
  </si>
  <si>
    <t>11.13</t>
  </si>
  <si>
    <t>La finalité d’un champ de saisie peut-elle être déduite pour faciliter le remplissage automatique des champs avec les données de l’utilisateur ?</t>
  </si>
  <si>
    <t>NAVIGATION</t>
  </si>
  <si>
    <t>12.1</t>
  </si>
  <si>
    <t>Chaque ensemble de pages dispose-t-il de deux systèmes de navigation différents, au moins (hors cas particuliers) ?</t>
  </si>
  <si>
    <t>12.2</t>
  </si>
  <si>
    <t>Dans chaque ensemble de pages, le menu et les barres de navigation sont-ils toujours à la même place (hors cas particuliers) ?</t>
  </si>
  <si>
    <t>12.3</t>
  </si>
  <si>
    <t>La page « plan du site » est-elle pertinente ?</t>
  </si>
  <si>
    <t>12.4</t>
  </si>
  <si>
    <t>Dans chaque ensemble de pages, la page « plan du site » est-elle atteignable de manière identique ?</t>
  </si>
  <si>
    <t>12.5</t>
  </si>
  <si>
    <t>Dans chaque ensemble de pages, le moteur de recherche est-il atteignable de manière identique ?</t>
  </si>
  <si>
    <t>12.6</t>
  </si>
  <si>
    <t>Les zones de regroupement de contenus présentes dans plusieurs pages web (zones d’en-tête, de navigation principale, de contenu principal, de pied de page et de moteur de recherche) peuvent-elles être atteintes ou évitées ?</t>
  </si>
  <si>
    <t>12.7</t>
  </si>
  <si>
    <t>Dans chaque page web, un lien d’évitement ou d’accès rapide à la zone de contenu principal est-il présent (hors cas particuliers) ?</t>
  </si>
  <si>
    <t>12.8</t>
  </si>
  <si>
    <t>Dans chaque page web, l’ordre de tabulation est-il cohérent ?</t>
  </si>
  <si>
    <t>12.9</t>
  </si>
  <si>
    <t>Dans chaque page web, la navigation ne doit pas contenir de piège au clavier. Cette règle est-elle respectée ?</t>
  </si>
  <si>
    <t>12.10</t>
  </si>
  <si>
    <t>Dans chaque page web, les raccourcis clavier n’utilisant qu’une seule touche (lettre minuscule ou majuscule, ponctuation, chiffre ou symbole) sont-ils contrôlables par l’utilisateur ?</t>
  </si>
  <si>
    <t>12.11</t>
  </si>
  <si>
    <t>Dans chaque page web, les contenus additionnels apparaissant au survol, à la prise de focus ou à l’activation d’un composant d’interface sont-ils si nécessaire atteignables au clavier ?</t>
  </si>
  <si>
    <t>CONSULTATION</t>
  </si>
  <si>
    <t>13.1</t>
  </si>
  <si>
    <t>Pour chaque page web, l’utilisateur a-t-il le contrôle de chaque limite de temps modifiant le contenu (hors cas particuliers) ?</t>
  </si>
  <si>
    <t>13.2</t>
  </si>
  <si>
    <t>Dans chaque page web, l’ouverture d’une nouvelle fenêtre ne doit pas être déclenchée sans action de l’utilisateur. Cette règle est-elle respectée ?</t>
  </si>
  <si>
    <t>13.3</t>
  </si>
  <si>
    <t>Dans chaque page web, chaque document bureautique en téléchargement possède-t-il, si nécessaire, une version accessible (hors cas particuliers) ?</t>
  </si>
  <si>
    <t>13.4</t>
  </si>
  <si>
    <t>Pour chaque document bureautique ayant une version accessible, cette version offre-t-elle la même information ?</t>
  </si>
  <si>
    <t>13.5</t>
  </si>
  <si>
    <t>Dans chaque page web, chaque contenu cryptique (art ASCII, émoticon, syntaxe cryptique) a-t-il une alternative ?</t>
  </si>
  <si>
    <t>13.6</t>
  </si>
  <si>
    <t>Dans chaque page web, pour chaque contenu cryptique (art ASCII, émoticon, syntaxe cryptique) ayant une alternative, cette alternative est-elle pertinente ?</t>
  </si>
  <si>
    <t>13.7</t>
  </si>
  <si>
    <t>Dans chaque page web, les changements brusques de luminosité ou les effets de flash sont-ils correctement utilisés ?</t>
  </si>
  <si>
    <t>13.8</t>
  </si>
  <si>
    <t>Dans chaque page web, chaque contenu en mouvement ou clignotant est-il contrôlable par l’utilisateur ?</t>
  </si>
  <si>
    <t>13.9</t>
  </si>
  <si>
    <t>Dans chaque page web, le contenu proposé est-il consultable quelle que soit l’orientation de l’écran (portait ou paysage) (hors cas particuliers) ?</t>
  </si>
  <si>
    <t>13.10</t>
  </si>
  <si>
    <t>Dans chaque page web, les fonctionnalités utilisables ou disponibles au moyen d’un geste complexe peuvent-elles être également disponibles au moyen d’un geste simple (hors cas particuliers) ?</t>
  </si>
  <si>
    <t>13.11</t>
  </si>
  <si>
    <t>Dans chaque page web, les actions déclenchées au moyen d’un dispositif de pointage sur un point unique de l’écran peuvent-elles faire l’objet d’une annulation (hors cas particuliers) ?</t>
  </si>
  <si>
    <t>13.12</t>
  </si>
  <si>
    <t>Dans chaque page web, les fonctionnalités qui impliquent un mouvement de l’appareil ou vers l’appareil peuvent-elles être satisfaites de manière alternative (hors cas particuliers) ?</t>
  </si>
  <si>
    <t>Spécificité</t>
  </si>
  <si>
    <t>Source technique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</si>
</sst>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/yyyy"/>
  </numFmts>
  <fonts count="11">
    <font>
      <sz val="12.0"/>
      <color theme="1"/>
      <name val="Aptos Narrow"/>
      <scheme val="minor"/>
    </font>
    <font>
      <b/>
      <sz val="12.0"/>
      <color rgb="FFFFFFFF"/>
      <name val="Aptos Narrow"/>
    </font>
    <font/>
    <font>
      <sz val="12.0"/>
      <color theme="1"/>
      <name val="Aptos Narrow"/>
    </font>
    <font>
      <sz val="14.0"/>
      <color theme="1"/>
      <name val="Aptos Narrow"/>
    </font>
    <font>
      <sz val="12.0"/>
      <color theme="1"/>
      <name val="Arial"/>
    </font>
    <font>
      <b/>
      <sz val="14.0"/>
      <color theme="1"/>
      <name val="Aptos Narrow"/>
    </font>
    <font>
      <b/>
      <sz val="14.0"/>
      <color theme="0"/>
      <name val="Aptos Narrow"/>
    </font>
    <font>
      <b/>
      <sz val="12.0"/>
      <color rgb="FF000000"/>
      <name val="Aptos Narrow"/>
    </font>
    <font>
      <sz val="12.0"/>
      <color rgb="FF000000"/>
      <name val="Aptos Narrow"/>
    </font>
    <font>
      <sz val="12.0"/>
      <color theme="0"/>
      <name val="Aptos Narrow"/>
    </font>
  </fonts>
  <fills count="4">
    <fill>
      <patternFill patternType="none"/>
    </fill>
    <fill>
      <patternFill patternType="lightGray"/>
    </fill>
    <fill>
      <patternFill patternType="solid">
        <fgColor rgb="FF000091"/>
        <bgColor rgb="FF000091"/>
      </patternFill>
    </fill>
    <fill>
      <patternFill patternType="solid">
        <fgColor theme="0"/>
        <bgColor theme="0"/>
      </patternFill>
    </fill>
  </fills>
  <borders count="14">
    <border/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0" fillId="0" fontId="3" numFmtId="0" xfId="0" applyFont="1"/>
    <xf borderId="0" fillId="0" fontId="3" numFmtId="0" xfId="0" applyAlignment="1" applyFont="1">
      <alignment horizontal="center" shrinkToFit="0" vertical="center" wrapText="1"/>
    </xf>
    <xf borderId="4" fillId="0" fontId="4" numFmtId="0" xfId="0" applyAlignment="1" applyBorder="1" applyFont="1">
      <alignment horizontal="left" shrinkToFit="0" vertical="top" wrapText="1"/>
    </xf>
    <xf borderId="5" fillId="0" fontId="2" numFmtId="0" xfId="0" applyBorder="1" applyFont="1"/>
    <xf borderId="6" fillId="0" fontId="2" numFmtId="0" xfId="0" applyBorder="1" applyFont="1"/>
    <xf borderId="7" fillId="0" fontId="4" numFmtId="164" xfId="0" applyBorder="1" applyFont="1" applyNumberFormat="1"/>
    <xf borderId="0" fillId="0" fontId="5" numFmtId="165" xfId="0" applyAlignment="1" applyFont="1" applyNumberFormat="1">
      <alignment readingOrder="0"/>
    </xf>
    <xf borderId="7" fillId="0" fontId="4" numFmtId="0" xfId="0" applyAlignment="1" applyBorder="1" applyFont="1">
      <alignment horizontal="right" vertical="top"/>
    </xf>
    <xf borderId="0" fillId="0" fontId="5" numFmtId="0" xfId="0" applyAlignment="1" applyFont="1">
      <alignment horizontal="right" readingOrder="0"/>
    </xf>
    <xf borderId="7" fillId="0" fontId="4" numFmtId="0" xfId="0" applyBorder="1" applyFont="1"/>
    <xf borderId="4" fillId="0" fontId="6" numFmtId="0" xfId="0" applyAlignment="1" applyBorder="1" applyFont="1">
      <alignment horizontal="left" shrinkToFit="0" vertical="top" wrapText="1"/>
    </xf>
    <xf borderId="7" fillId="0" fontId="6" numFmtId="9" xfId="0" applyBorder="1" applyFont="1" applyNumberFormat="1"/>
    <xf borderId="7" fillId="2" fontId="7" numFmtId="0" xfId="0" applyBorder="1" applyFont="1"/>
    <xf borderId="8" fillId="2" fontId="7" numFmtId="0" xfId="0" applyBorder="1" applyFont="1"/>
    <xf borderId="9" fillId="2" fontId="1" numFmtId="0" xfId="0" applyAlignment="1" applyBorder="1" applyFont="1">
      <alignment horizontal="center" shrinkToFit="0" textRotation="90" vertical="center" wrapText="1"/>
    </xf>
    <xf borderId="10" fillId="0" fontId="8" numFmtId="0" xfId="0" applyAlignment="1" applyBorder="1" applyFont="1">
      <alignment horizontal="center" shrinkToFit="0" vertical="center" wrapText="1"/>
    </xf>
    <xf borderId="10" fillId="0" fontId="9" numFmtId="0" xfId="0" applyAlignment="1" applyBorder="1" applyFont="1">
      <alignment horizontal="left" shrinkToFit="0" vertical="center" wrapText="1"/>
    </xf>
    <xf borderId="11" fillId="3" fontId="4" numFmtId="0" xfId="0" applyAlignment="1" applyBorder="1" applyFill="1" applyFont="1">
      <alignment horizontal="left" vertical="top"/>
    </xf>
    <xf borderId="7" fillId="0" fontId="3" numFmtId="0" xfId="0" applyAlignment="1" applyBorder="1" applyFont="1">
      <alignment horizontal="left" shrinkToFit="0" vertical="top" wrapText="1"/>
    </xf>
    <xf borderId="12" fillId="0" fontId="2" numFmtId="0" xfId="0" applyBorder="1" applyFont="1"/>
    <xf borderId="13" fillId="0" fontId="2" numFmtId="0" xfId="0" applyBorder="1" applyFont="1"/>
    <xf borderId="4" fillId="2" fontId="10" numFmtId="0" xfId="0" applyAlignment="1" applyBorder="1" applyFont="1">
      <alignment horizontal="left"/>
    </xf>
    <xf borderId="7" fillId="2" fontId="10" numFmtId="0" xfId="0" applyBorder="1" applyFont="1"/>
    <xf borderId="4" fillId="0" fontId="3" numFmtId="0" xfId="0" applyAlignment="1" applyBorder="1" applyFont="1">
      <alignment horizontal="left" shrinkToFit="0" vertical="top" wrapText="1"/>
    </xf>
    <xf borderId="7" fillId="0" fontId="3" numFmtId="0" xfId="0" applyAlignment="1" applyBorder="1" applyFont="1">
      <alignment horizontal="left" vertical="top"/>
    </xf>
    <xf borderId="4" fillId="0" fontId="3" numFmtId="0" xfId="0" applyAlignment="1" applyBorder="1" applyFont="1">
      <alignment horizontal="left" vertical="top"/>
    </xf>
  </cellXfs>
  <cellStyles count="1">
    <cellStyle xfId="0" name="Normal" builtinId="0"/>
  </cellStyles>
  <dxfs count="4">
    <dxf>
      <font>
        <color rgb="FF9C5700"/>
      </font>
      <fill>
        <patternFill patternType="solid">
          <fgColor rgb="FFFFEB9C"/>
          <bgColor rgb="FFFFEB9C"/>
        </patternFill>
      </fill>
      <border/>
    </dxf>
    <dxf>
      <font>
        <color rgb="FF78206E"/>
      </font>
      <fill>
        <patternFill patternType="solid">
          <fgColor rgb="FFF1CEEE"/>
          <bgColor rgb="FFF1CEE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1.22" defaultRowHeight="15.0"/>
  <cols>
    <col customWidth="1" min="1" max="1" width="15.0"/>
    <col customWidth="1" min="2" max="2" width="10.33"/>
    <col customWidth="1" min="3" max="3" width="59.78"/>
    <col customWidth="1" min="4" max="4" width="15.11"/>
    <col customWidth="1" min="5" max="5" width="115.11"/>
    <col customWidth="1" min="6" max="26" width="10.78"/>
  </cols>
  <sheetData>
    <row r="1" ht="31.5" customHeight="1">
      <c r="A1" s="1" t="s">
        <v>0</v>
      </c>
      <c r="B1" s="2"/>
      <c r="C1" s="2"/>
      <c r="D1" s="3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15.75" customHeight="1">
      <c r="A2" s="5"/>
      <c r="B2" s="5"/>
      <c r="C2" s="5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 ht="15.75" customHeight="1">
      <c r="A3" s="6" t="s">
        <v>1</v>
      </c>
      <c r="B3" s="7"/>
      <c r="C3" s="8"/>
      <c r="D3" s="9">
        <v>45772.0</v>
      </c>
      <c r="E3" s="10">
        <v>45795.0</v>
      </c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 ht="15.75" customHeight="1">
      <c r="A4" s="6" t="s">
        <v>2</v>
      </c>
      <c r="B4" s="7"/>
      <c r="C4" s="8"/>
      <c r="D4" s="11" t="s">
        <v>3</v>
      </c>
      <c r="E4" s="12" t="s">
        <v>4</v>
      </c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 ht="15.75" customHeight="1">
      <c r="A5" s="6" t="s">
        <v>5</v>
      </c>
      <c r="B5" s="7"/>
      <c r="C5" s="8"/>
      <c r="D5" s="13">
        <f t="shared" ref="D5:E5" si="1"> COUNTIF($D$14:$D$119,"Conforme")</f>
        <v>9</v>
      </c>
      <c r="E5" s="13">
        <f t="shared" si="1"/>
        <v>9</v>
      </c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 ht="15.75" customHeight="1">
      <c r="A6" s="6" t="s">
        <v>6</v>
      </c>
      <c r="B6" s="7"/>
      <c r="C6" s="8"/>
      <c r="D6" s="13">
        <f t="shared" ref="D6:E6" si="2"> COUNTIF($D$14:$D$119,"Non conforme")</f>
        <v>0</v>
      </c>
      <c r="E6" s="13">
        <f t="shared" si="2"/>
        <v>0</v>
      </c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 ht="15.75" customHeight="1">
      <c r="A7" s="6" t="s">
        <v>7</v>
      </c>
      <c r="B7" s="7"/>
      <c r="C7" s="8"/>
      <c r="D7" s="13">
        <f t="shared" ref="D7:E7" si="3"> COUNTIF($D$14:$D$119,"Non applicable")</f>
        <v>97</v>
      </c>
      <c r="E7" s="13">
        <f t="shared" si="3"/>
        <v>97</v>
      </c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 ht="15.75" customHeight="1">
      <c r="A8" s="6" t="s">
        <v>8</v>
      </c>
      <c r="B8" s="7"/>
      <c r="C8" s="8"/>
      <c r="D8" s="13">
        <f t="shared" ref="D8:E8" si="4"> COUNTIF($D$14:$D$119,"Dérogé")</f>
        <v>0</v>
      </c>
      <c r="E8" s="13">
        <f t="shared" si="4"/>
        <v>0</v>
      </c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 ht="15.75" customHeight="1">
      <c r="A9" s="6" t="s">
        <v>9</v>
      </c>
      <c r="B9" s="7"/>
      <c r="C9" s="8"/>
      <c r="D9" s="13">
        <f t="shared" ref="D9:E9" si="5"> COUNTIF($D$14:$D$119,"Non testé")</f>
        <v>0</v>
      </c>
      <c r="E9" s="13">
        <f t="shared" si="5"/>
        <v>0</v>
      </c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 ht="18.75" customHeight="1">
      <c r="A10" s="14" t="s">
        <v>10</v>
      </c>
      <c r="B10" s="7"/>
      <c r="C10" s="8"/>
      <c r="D10" s="15">
        <f t="shared" ref="D10:E10" si="6">IF(SUM(D5:D6)&gt;0,D5/SUM(D5:D6),"")</f>
        <v>1</v>
      </c>
      <c r="E10" s="15">
        <f t="shared" si="6"/>
        <v>1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 ht="18.75" customHeight="1">
      <c r="A11" s="14" t="s">
        <v>11</v>
      </c>
      <c r="B11" s="7"/>
      <c r="C11" s="8"/>
      <c r="D11" s="15">
        <f t="shared" ref="D11:E11" si="7">IF(SUM(D5:D6)&gt;0,1-ROUND(D10,2),"")</f>
        <v>0</v>
      </c>
      <c r="E11" s="15">
        <f t="shared" si="7"/>
        <v>0</v>
      </c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 ht="15.75" customHeight="1">
      <c r="A12" s="5"/>
      <c r="B12" s="5"/>
      <c r="C12" s="5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 ht="15.75" customHeight="1">
      <c r="A13" s="16" t="s">
        <v>12</v>
      </c>
      <c r="B13" s="16" t="s">
        <v>13</v>
      </c>
      <c r="C13" s="16" t="s">
        <v>14</v>
      </c>
      <c r="D13" s="16" t="s">
        <v>15</v>
      </c>
      <c r="E13" s="17" t="s">
        <v>16</v>
      </c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 ht="15.75" customHeight="1">
      <c r="A14" s="18" t="s">
        <v>17</v>
      </c>
      <c r="B14" s="19" t="s">
        <v>18</v>
      </c>
      <c r="C14" s="20" t="s">
        <v>19</v>
      </c>
      <c r="D14" s="21" t="s">
        <v>20</v>
      </c>
      <c r="E14" s="22" t="s">
        <v>21</v>
      </c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 ht="15.75" customHeight="1">
      <c r="A15" s="23"/>
      <c r="B15" s="19" t="s">
        <v>22</v>
      </c>
      <c r="C15" s="20" t="s">
        <v>23</v>
      </c>
      <c r="D15" s="21" t="s">
        <v>24</v>
      </c>
      <c r="E15" s="22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 ht="15.75" customHeight="1">
      <c r="A16" s="23"/>
      <c r="B16" s="19" t="s">
        <v>25</v>
      </c>
      <c r="C16" s="20" t="s">
        <v>26</v>
      </c>
      <c r="D16" s="21" t="s">
        <v>20</v>
      </c>
      <c r="E16" s="22" t="s">
        <v>27</v>
      </c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 ht="15.75" customHeight="1">
      <c r="A17" s="23"/>
      <c r="B17" s="19" t="s">
        <v>28</v>
      </c>
      <c r="C17" s="20" t="s">
        <v>29</v>
      </c>
      <c r="D17" s="21" t="s">
        <v>24</v>
      </c>
      <c r="E17" s="22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 ht="15.75" customHeight="1">
      <c r="A18" s="23"/>
      <c r="B18" s="19" t="s">
        <v>30</v>
      </c>
      <c r="C18" s="20" t="s">
        <v>31</v>
      </c>
      <c r="D18" s="21" t="s">
        <v>24</v>
      </c>
      <c r="E18" s="22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 ht="15.75" customHeight="1">
      <c r="A19" s="23"/>
      <c r="B19" s="19" t="s">
        <v>32</v>
      </c>
      <c r="C19" s="20" t="s">
        <v>33</v>
      </c>
      <c r="D19" s="21" t="s">
        <v>24</v>
      </c>
      <c r="E19" s="22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 ht="15.75" customHeight="1">
      <c r="A20" s="23"/>
      <c r="B20" s="19" t="s">
        <v>34</v>
      </c>
      <c r="C20" s="20" t="s">
        <v>35</v>
      </c>
      <c r="D20" s="21" t="s">
        <v>24</v>
      </c>
      <c r="E20" s="22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 ht="15.75" customHeight="1">
      <c r="A21" s="23"/>
      <c r="B21" s="19" t="s">
        <v>36</v>
      </c>
      <c r="C21" s="20" t="s">
        <v>37</v>
      </c>
      <c r="D21" s="21" t="s">
        <v>24</v>
      </c>
      <c r="E21" s="22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 ht="15.75" customHeight="1">
      <c r="A22" s="24"/>
      <c r="B22" s="19" t="s">
        <v>38</v>
      </c>
      <c r="C22" s="20" t="s">
        <v>39</v>
      </c>
      <c r="D22" s="21" t="s">
        <v>24</v>
      </c>
      <c r="E22" s="22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 ht="15.75" customHeight="1">
      <c r="A23" s="18" t="s">
        <v>40</v>
      </c>
      <c r="B23" s="19" t="s">
        <v>41</v>
      </c>
      <c r="C23" s="20" t="s">
        <v>42</v>
      </c>
      <c r="D23" s="21" t="s">
        <v>24</v>
      </c>
      <c r="E23" s="22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 ht="15.75" customHeight="1">
      <c r="A24" s="24"/>
      <c r="B24" s="19" t="s">
        <v>43</v>
      </c>
      <c r="C24" s="20" t="s">
        <v>44</v>
      </c>
      <c r="D24" s="21" t="s">
        <v>24</v>
      </c>
      <c r="E24" s="22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 ht="15.75" customHeight="1">
      <c r="A25" s="18" t="s">
        <v>45</v>
      </c>
      <c r="B25" s="19" t="s">
        <v>46</v>
      </c>
      <c r="C25" s="20" t="s">
        <v>47</v>
      </c>
      <c r="D25" s="21" t="s">
        <v>24</v>
      </c>
      <c r="E25" s="22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 ht="15.75" customHeight="1">
      <c r="A26" s="23"/>
      <c r="B26" s="19" t="s">
        <v>48</v>
      </c>
      <c r="C26" s="20" t="s">
        <v>49</v>
      </c>
      <c r="D26" s="21" t="s">
        <v>24</v>
      </c>
      <c r="E26" s="22" t="s">
        <v>50</v>
      </c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 ht="15.75" customHeight="1">
      <c r="A27" s="24"/>
      <c r="B27" s="19" t="s">
        <v>51</v>
      </c>
      <c r="C27" s="20" t="s">
        <v>52</v>
      </c>
      <c r="D27" s="21" t="s">
        <v>24</v>
      </c>
      <c r="E27" s="22" t="s">
        <v>50</v>
      </c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 ht="15.75" customHeight="1">
      <c r="A28" s="18" t="s">
        <v>53</v>
      </c>
      <c r="B28" s="19" t="s">
        <v>54</v>
      </c>
      <c r="C28" s="20" t="s">
        <v>55</v>
      </c>
      <c r="D28" s="21" t="s">
        <v>24</v>
      </c>
      <c r="E28" s="22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 ht="15.75" customHeight="1">
      <c r="A29" s="23"/>
      <c r="B29" s="19" t="s">
        <v>56</v>
      </c>
      <c r="C29" s="20" t="s">
        <v>57</v>
      </c>
      <c r="D29" s="21" t="s">
        <v>24</v>
      </c>
      <c r="E29" s="22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 ht="15.75" customHeight="1">
      <c r="A30" s="23"/>
      <c r="B30" s="19" t="s">
        <v>58</v>
      </c>
      <c r="C30" s="20" t="s">
        <v>59</v>
      </c>
      <c r="D30" s="21" t="s">
        <v>24</v>
      </c>
      <c r="E30" s="22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 ht="15.75" customHeight="1">
      <c r="A31" s="23"/>
      <c r="B31" s="19" t="s">
        <v>60</v>
      </c>
      <c r="C31" s="20" t="s">
        <v>61</v>
      </c>
      <c r="D31" s="21" t="s">
        <v>24</v>
      </c>
      <c r="E31" s="22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 ht="15.75" customHeight="1">
      <c r="A32" s="23"/>
      <c r="B32" s="19" t="s">
        <v>62</v>
      </c>
      <c r="C32" s="20" t="s">
        <v>63</v>
      </c>
      <c r="D32" s="21" t="s">
        <v>24</v>
      </c>
      <c r="E32" s="22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 ht="15.75" customHeight="1">
      <c r="A33" s="23"/>
      <c r="B33" s="19" t="s">
        <v>64</v>
      </c>
      <c r="C33" s="20" t="s">
        <v>65</v>
      </c>
      <c r="D33" s="21" t="s">
        <v>24</v>
      </c>
      <c r="E33" s="22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 ht="15.75" customHeight="1">
      <c r="A34" s="23"/>
      <c r="B34" s="19" t="s">
        <v>66</v>
      </c>
      <c r="C34" s="20" t="s">
        <v>67</v>
      </c>
      <c r="D34" s="21" t="s">
        <v>24</v>
      </c>
      <c r="E34" s="22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 ht="15.75" customHeight="1">
      <c r="A35" s="23"/>
      <c r="B35" s="19" t="s">
        <v>68</v>
      </c>
      <c r="C35" s="20" t="s">
        <v>69</v>
      </c>
      <c r="D35" s="21" t="s">
        <v>24</v>
      </c>
      <c r="E35" s="22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 ht="15.75" customHeight="1">
      <c r="A36" s="23"/>
      <c r="B36" s="19" t="s">
        <v>70</v>
      </c>
      <c r="C36" s="20" t="s">
        <v>71</v>
      </c>
      <c r="D36" s="21" t="s">
        <v>24</v>
      </c>
      <c r="E36" s="22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 ht="15.75" customHeight="1">
      <c r="A37" s="23"/>
      <c r="B37" s="19" t="s">
        <v>72</v>
      </c>
      <c r="C37" s="20" t="s">
        <v>73</v>
      </c>
      <c r="D37" s="21" t="s">
        <v>24</v>
      </c>
      <c r="E37" s="22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 ht="15.75" customHeight="1">
      <c r="A38" s="23"/>
      <c r="B38" s="19" t="s">
        <v>74</v>
      </c>
      <c r="C38" s="20" t="s">
        <v>75</v>
      </c>
      <c r="D38" s="21" t="s">
        <v>24</v>
      </c>
      <c r="E38" s="22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 ht="15.75" customHeight="1">
      <c r="A39" s="23"/>
      <c r="B39" s="19" t="s">
        <v>76</v>
      </c>
      <c r="C39" s="20" t="s">
        <v>77</v>
      </c>
      <c r="D39" s="21" t="s">
        <v>24</v>
      </c>
      <c r="E39" s="22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 ht="15.75" customHeight="1">
      <c r="A40" s="24"/>
      <c r="B40" s="19" t="s">
        <v>78</v>
      </c>
      <c r="C40" s="20" t="s">
        <v>79</v>
      </c>
      <c r="D40" s="21" t="s">
        <v>24</v>
      </c>
      <c r="E40" s="22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 ht="15.75" customHeight="1">
      <c r="A41" s="18" t="s">
        <v>80</v>
      </c>
      <c r="B41" s="19" t="s">
        <v>81</v>
      </c>
      <c r="C41" s="20" t="s">
        <v>82</v>
      </c>
      <c r="D41" s="21" t="s">
        <v>24</v>
      </c>
      <c r="E41" s="22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 ht="15.75" customHeight="1">
      <c r="A42" s="23"/>
      <c r="B42" s="19" t="s">
        <v>83</v>
      </c>
      <c r="C42" s="20" t="s">
        <v>84</v>
      </c>
      <c r="D42" s="21" t="s">
        <v>24</v>
      </c>
      <c r="E42" s="22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 ht="15.75" customHeight="1">
      <c r="A43" s="23"/>
      <c r="B43" s="19" t="s">
        <v>85</v>
      </c>
      <c r="C43" s="20" t="s">
        <v>86</v>
      </c>
      <c r="D43" s="21" t="s">
        <v>24</v>
      </c>
      <c r="E43" s="22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 ht="15.75" customHeight="1">
      <c r="A44" s="23"/>
      <c r="B44" s="19" t="s">
        <v>87</v>
      </c>
      <c r="C44" s="20" t="s">
        <v>88</v>
      </c>
      <c r="D44" s="21" t="s">
        <v>24</v>
      </c>
      <c r="E44" s="22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 ht="15.75" customHeight="1">
      <c r="A45" s="23"/>
      <c r="B45" s="19" t="s">
        <v>89</v>
      </c>
      <c r="C45" s="20" t="s">
        <v>90</v>
      </c>
      <c r="D45" s="21" t="s">
        <v>24</v>
      </c>
      <c r="E45" s="22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 ht="15.75" customHeight="1">
      <c r="A46" s="23"/>
      <c r="B46" s="19" t="s">
        <v>91</v>
      </c>
      <c r="C46" s="20" t="s">
        <v>92</v>
      </c>
      <c r="D46" s="21" t="s">
        <v>24</v>
      </c>
      <c r="E46" s="22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 ht="15.75" customHeight="1">
      <c r="A47" s="23"/>
      <c r="B47" s="19" t="s">
        <v>93</v>
      </c>
      <c r="C47" s="20" t="s">
        <v>94</v>
      </c>
      <c r="D47" s="21" t="s">
        <v>24</v>
      </c>
      <c r="E47" s="22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 ht="15.75" customHeight="1">
      <c r="A48" s="24"/>
      <c r="B48" s="19" t="s">
        <v>95</v>
      </c>
      <c r="C48" s="20" t="s">
        <v>96</v>
      </c>
      <c r="D48" s="21" t="s">
        <v>24</v>
      </c>
      <c r="E48" s="22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 ht="15.75" customHeight="1">
      <c r="A49" s="18" t="s">
        <v>97</v>
      </c>
      <c r="B49" s="19" t="s">
        <v>98</v>
      </c>
      <c r="C49" s="20" t="s">
        <v>99</v>
      </c>
      <c r="D49" s="21" t="s">
        <v>24</v>
      </c>
      <c r="E49" s="22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 ht="15.75" customHeight="1">
      <c r="A50" s="24"/>
      <c r="B50" s="19" t="s">
        <v>100</v>
      </c>
      <c r="C50" s="20" t="s">
        <v>101</v>
      </c>
      <c r="D50" s="21" t="s">
        <v>24</v>
      </c>
      <c r="E50" s="22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 ht="15.75" customHeight="1">
      <c r="A51" s="18" t="s">
        <v>102</v>
      </c>
      <c r="B51" s="19" t="s">
        <v>103</v>
      </c>
      <c r="C51" s="20" t="s">
        <v>104</v>
      </c>
      <c r="D51" s="21" t="s">
        <v>20</v>
      </c>
      <c r="E51" s="22" t="s">
        <v>105</v>
      </c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 ht="15.75" customHeight="1">
      <c r="A52" s="23"/>
      <c r="B52" s="19" t="s">
        <v>106</v>
      </c>
      <c r="C52" s="20" t="s">
        <v>107</v>
      </c>
      <c r="D52" s="21" t="s">
        <v>24</v>
      </c>
      <c r="E52" s="22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 ht="15.75" customHeight="1">
      <c r="A53" s="23"/>
      <c r="B53" s="19" t="s">
        <v>108</v>
      </c>
      <c r="C53" s="20" t="s">
        <v>109</v>
      </c>
      <c r="D53" s="21" t="s">
        <v>24</v>
      </c>
      <c r="E53" s="22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 ht="15.75" customHeight="1">
      <c r="A54" s="23"/>
      <c r="B54" s="19" t="s">
        <v>110</v>
      </c>
      <c r="C54" s="20" t="s">
        <v>111</v>
      </c>
      <c r="D54" s="21" t="s">
        <v>24</v>
      </c>
      <c r="E54" s="22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 ht="15.75" customHeight="1">
      <c r="A55" s="24"/>
      <c r="B55" s="19" t="s">
        <v>112</v>
      </c>
      <c r="C55" s="20" t="s">
        <v>113</v>
      </c>
      <c r="D55" s="21" t="s">
        <v>24</v>
      </c>
      <c r="E55" s="22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 ht="15.75" customHeight="1">
      <c r="A56" s="18" t="s">
        <v>114</v>
      </c>
      <c r="B56" s="19" t="s">
        <v>115</v>
      </c>
      <c r="C56" s="20" t="s">
        <v>116</v>
      </c>
      <c r="D56" s="21" t="s">
        <v>24</v>
      </c>
      <c r="E56" s="22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 ht="15.75" customHeight="1">
      <c r="A57" s="23"/>
      <c r="B57" s="19" t="s">
        <v>117</v>
      </c>
      <c r="C57" s="20" t="s">
        <v>118</v>
      </c>
      <c r="D57" s="21" t="s">
        <v>20</v>
      </c>
      <c r="E57" s="22" t="s">
        <v>119</v>
      </c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 ht="15.75" customHeight="1">
      <c r="A58" s="23"/>
      <c r="B58" s="19" t="s">
        <v>120</v>
      </c>
      <c r="C58" s="20" t="s">
        <v>121</v>
      </c>
      <c r="D58" s="21" t="s">
        <v>24</v>
      </c>
      <c r="E58" s="22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 ht="15.75" customHeight="1">
      <c r="A59" s="23"/>
      <c r="B59" s="19" t="s">
        <v>122</v>
      </c>
      <c r="C59" s="20" t="s">
        <v>123</v>
      </c>
      <c r="D59" s="21" t="s">
        <v>24</v>
      </c>
      <c r="E59" s="22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 ht="15.75" customHeight="1">
      <c r="A60" s="23"/>
      <c r="B60" s="19" t="s">
        <v>124</v>
      </c>
      <c r="C60" s="20" t="s">
        <v>125</v>
      </c>
      <c r="D60" s="21" t="s">
        <v>24</v>
      </c>
      <c r="E60" s="22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 ht="15.75" customHeight="1">
      <c r="A61" s="23"/>
      <c r="B61" s="19" t="s">
        <v>126</v>
      </c>
      <c r="C61" s="20" t="s">
        <v>127</v>
      </c>
      <c r="D61" s="21" t="s">
        <v>24</v>
      </c>
      <c r="E61" s="22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 ht="15.75" customHeight="1">
      <c r="A62" s="23"/>
      <c r="B62" s="19" t="s">
        <v>128</v>
      </c>
      <c r="C62" s="20" t="s">
        <v>129</v>
      </c>
      <c r="D62" s="21" t="s">
        <v>24</v>
      </c>
      <c r="E62" s="22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 ht="15.75" customHeight="1">
      <c r="A63" s="23"/>
      <c r="B63" s="19" t="s">
        <v>130</v>
      </c>
      <c r="C63" s="20" t="s">
        <v>131</v>
      </c>
      <c r="D63" s="21" t="s">
        <v>24</v>
      </c>
      <c r="E63" s="22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 ht="15.75" customHeight="1">
      <c r="A64" s="23"/>
      <c r="B64" s="19" t="s">
        <v>132</v>
      </c>
      <c r="C64" s="20" t="s">
        <v>133</v>
      </c>
      <c r="D64" s="21" t="s">
        <v>24</v>
      </c>
      <c r="E64" s="22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 ht="15.75" customHeight="1">
      <c r="A65" s="24"/>
      <c r="B65" s="19" t="s">
        <v>134</v>
      </c>
      <c r="C65" s="20" t="s">
        <v>135</v>
      </c>
      <c r="D65" s="21" t="s">
        <v>24</v>
      </c>
      <c r="E65" s="22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 ht="15.75" customHeight="1">
      <c r="A66" s="18" t="s">
        <v>136</v>
      </c>
      <c r="B66" s="19" t="s">
        <v>137</v>
      </c>
      <c r="C66" s="20" t="s">
        <v>138</v>
      </c>
      <c r="D66" s="21" t="s">
        <v>24</v>
      </c>
      <c r="E66" s="22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 ht="15.75" customHeight="1">
      <c r="A67" s="23"/>
      <c r="B67" s="19" t="s">
        <v>139</v>
      </c>
      <c r="C67" s="20" t="s">
        <v>140</v>
      </c>
      <c r="D67" s="21" t="s">
        <v>24</v>
      </c>
      <c r="E67" s="22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 ht="15.75" customHeight="1">
      <c r="A68" s="23"/>
      <c r="B68" s="19" t="s">
        <v>141</v>
      </c>
      <c r="C68" s="20" t="s">
        <v>142</v>
      </c>
      <c r="D68" s="21" t="s">
        <v>24</v>
      </c>
      <c r="E68" s="22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 ht="15.75" customHeight="1">
      <c r="A69" s="24"/>
      <c r="B69" s="19" t="s">
        <v>143</v>
      </c>
      <c r="C69" s="20" t="s">
        <v>144</v>
      </c>
      <c r="D69" s="21" t="s">
        <v>24</v>
      </c>
      <c r="E69" s="22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 ht="15.75" customHeight="1">
      <c r="A70" s="18" t="s">
        <v>145</v>
      </c>
      <c r="B70" s="19" t="s">
        <v>146</v>
      </c>
      <c r="C70" s="20" t="s">
        <v>147</v>
      </c>
      <c r="D70" s="21" t="s">
        <v>20</v>
      </c>
      <c r="E70" s="22" t="s">
        <v>148</v>
      </c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 ht="15.75" customHeight="1">
      <c r="A71" s="23"/>
      <c r="B71" s="19" t="s">
        <v>149</v>
      </c>
      <c r="C71" s="20" t="s">
        <v>150</v>
      </c>
      <c r="D71" s="21" t="s">
        <v>20</v>
      </c>
      <c r="E71" s="22" t="s">
        <v>148</v>
      </c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 ht="15.75" customHeight="1">
      <c r="A72" s="23"/>
      <c r="B72" s="19" t="s">
        <v>151</v>
      </c>
      <c r="C72" s="20" t="s">
        <v>152</v>
      </c>
      <c r="D72" s="21" t="s">
        <v>20</v>
      </c>
      <c r="E72" s="22" t="s">
        <v>153</v>
      </c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 ht="15.75" customHeight="1">
      <c r="A73" s="23"/>
      <c r="B73" s="19" t="s">
        <v>154</v>
      </c>
      <c r="C73" s="20" t="s">
        <v>155</v>
      </c>
      <c r="D73" s="21" t="s">
        <v>20</v>
      </c>
      <c r="E73" s="22" t="s">
        <v>156</v>
      </c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 ht="15.75" customHeight="1">
      <c r="A74" s="23"/>
      <c r="B74" s="19" t="s">
        <v>157</v>
      </c>
      <c r="C74" s="20" t="s">
        <v>158</v>
      </c>
      <c r="D74" s="21" t="s">
        <v>24</v>
      </c>
      <c r="E74" s="22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 ht="15.75" customHeight="1">
      <c r="A75" s="23"/>
      <c r="B75" s="19" t="s">
        <v>159</v>
      </c>
      <c r="C75" s="20" t="s">
        <v>160</v>
      </c>
      <c r="D75" s="21" t="s">
        <v>24</v>
      </c>
      <c r="E75" s="22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 ht="15.75" customHeight="1">
      <c r="A76" s="23"/>
      <c r="B76" s="19" t="s">
        <v>161</v>
      </c>
      <c r="C76" s="20" t="s">
        <v>162</v>
      </c>
      <c r="D76" s="21" t="s">
        <v>24</v>
      </c>
      <c r="E76" s="22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 ht="15.75" customHeight="1">
      <c r="A77" s="23"/>
      <c r="B77" s="19" t="s">
        <v>163</v>
      </c>
      <c r="C77" s="20" t="s">
        <v>164</v>
      </c>
      <c r="D77" s="21" t="s">
        <v>24</v>
      </c>
      <c r="E77" s="22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 ht="15.75" customHeight="1">
      <c r="A78" s="23"/>
      <c r="B78" s="19" t="s">
        <v>165</v>
      </c>
      <c r="C78" s="20" t="s">
        <v>166</v>
      </c>
      <c r="D78" s="21" t="s">
        <v>24</v>
      </c>
      <c r="E78" s="22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 ht="15.75" customHeight="1">
      <c r="A79" s="23"/>
      <c r="B79" s="19" t="s">
        <v>167</v>
      </c>
      <c r="C79" s="20" t="s">
        <v>168</v>
      </c>
      <c r="D79" s="21" t="s">
        <v>24</v>
      </c>
      <c r="E79" s="22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 ht="15.75" customHeight="1">
      <c r="A80" s="23"/>
      <c r="B80" s="19" t="s">
        <v>169</v>
      </c>
      <c r="C80" s="20" t="s">
        <v>170</v>
      </c>
      <c r="D80" s="21" t="s">
        <v>20</v>
      </c>
      <c r="E80" s="22" t="s">
        <v>171</v>
      </c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 ht="15.75" customHeight="1">
      <c r="A81" s="23"/>
      <c r="B81" s="19" t="s">
        <v>172</v>
      </c>
      <c r="C81" s="20" t="s">
        <v>173</v>
      </c>
      <c r="D81" s="21" t="s">
        <v>24</v>
      </c>
      <c r="E81" s="22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 ht="15.75" customHeight="1">
      <c r="A82" s="23"/>
      <c r="B82" s="19" t="s">
        <v>174</v>
      </c>
      <c r="C82" s="20" t="s">
        <v>175</v>
      </c>
      <c r="D82" s="21" t="s">
        <v>24</v>
      </c>
      <c r="E82" s="22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 ht="15.75" customHeight="1">
      <c r="A83" s="24"/>
      <c r="B83" s="19" t="s">
        <v>176</v>
      </c>
      <c r="C83" s="20" t="s">
        <v>177</v>
      </c>
      <c r="D83" s="21" t="s">
        <v>24</v>
      </c>
      <c r="E83" s="22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 ht="15.75" customHeight="1">
      <c r="A84" s="18" t="s">
        <v>178</v>
      </c>
      <c r="B84" s="19" t="s">
        <v>179</v>
      </c>
      <c r="C84" s="20" t="s">
        <v>180</v>
      </c>
      <c r="D84" s="21" t="s">
        <v>24</v>
      </c>
      <c r="E84" s="22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 ht="15.75" customHeight="1">
      <c r="A85" s="23"/>
      <c r="B85" s="19" t="s">
        <v>181</v>
      </c>
      <c r="C85" s="20" t="s">
        <v>182</v>
      </c>
      <c r="D85" s="21" t="s">
        <v>24</v>
      </c>
      <c r="E85" s="22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 ht="15.75" customHeight="1">
      <c r="A86" s="23"/>
      <c r="B86" s="19" t="s">
        <v>183</v>
      </c>
      <c r="C86" s="20" t="s">
        <v>184</v>
      </c>
      <c r="D86" s="21" t="s">
        <v>24</v>
      </c>
      <c r="E86" s="22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 ht="15.75" customHeight="1">
      <c r="A87" s="23"/>
      <c r="B87" s="19" t="s">
        <v>185</v>
      </c>
      <c r="C87" s="20" t="s">
        <v>186</v>
      </c>
      <c r="D87" s="21" t="s">
        <v>24</v>
      </c>
      <c r="E87" s="22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 ht="15.75" customHeight="1">
      <c r="A88" s="23"/>
      <c r="B88" s="19" t="s">
        <v>187</v>
      </c>
      <c r="C88" s="20" t="s">
        <v>188</v>
      </c>
      <c r="D88" s="21" t="s">
        <v>24</v>
      </c>
      <c r="E88" s="22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 ht="15.75" customHeight="1">
      <c r="A89" s="23"/>
      <c r="B89" s="19" t="s">
        <v>189</v>
      </c>
      <c r="C89" s="20" t="s">
        <v>190</v>
      </c>
      <c r="D89" s="21" t="s">
        <v>24</v>
      </c>
      <c r="E89" s="22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 ht="15.75" customHeight="1">
      <c r="A90" s="23"/>
      <c r="B90" s="19" t="s">
        <v>191</v>
      </c>
      <c r="C90" s="20" t="s">
        <v>192</v>
      </c>
      <c r="D90" s="21" t="s">
        <v>24</v>
      </c>
      <c r="E90" s="22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 ht="15.75" customHeight="1">
      <c r="A91" s="23"/>
      <c r="B91" s="19" t="s">
        <v>193</v>
      </c>
      <c r="C91" s="20" t="s">
        <v>194</v>
      </c>
      <c r="D91" s="21" t="s">
        <v>24</v>
      </c>
      <c r="E91" s="22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 ht="15.75" customHeight="1">
      <c r="A92" s="23"/>
      <c r="B92" s="19" t="s">
        <v>195</v>
      </c>
      <c r="C92" s="20" t="s">
        <v>196</v>
      </c>
      <c r="D92" s="21" t="s">
        <v>24</v>
      </c>
      <c r="E92" s="22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 ht="15.75" customHeight="1">
      <c r="A93" s="23"/>
      <c r="B93" s="19" t="s">
        <v>197</v>
      </c>
      <c r="C93" s="20" t="s">
        <v>198</v>
      </c>
      <c r="D93" s="21" t="s">
        <v>24</v>
      </c>
      <c r="E93" s="22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 ht="15.75" customHeight="1">
      <c r="A94" s="23"/>
      <c r="B94" s="19" t="s">
        <v>199</v>
      </c>
      <c r="C94" s="20" t="s">
        <v>200</v>
      </c>
      <c r="D94" s="21" t="s">
        <v>24</v>
      </c>
      <c r="E94" s="22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 ht="15.75" customHeight="1">
      <c r="A95" s="23"/>
      <c r="B95" s="19" t="s">
        <v>201</v>
      </c>
      <c r="C95" s="20" t="s">
        <v>202</v>
      </c>
      <c r="D95" s="21" t="s">
        <v>24</v>
      </c>
      <c r="E95" s="22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 ht="15.75" customHeight="1">
      <c r="A96" s="24"/>
      <c r="B96" s="19" t="s">
        <v>203</v>
      </c>
      <c r="C96" s="20" t="s">
        <v>204</v>
      </c>
      <c r="D96" s="21" t="s">
        <v>24</v>
      </c>
      <c r="E96" s="22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 ht="15.75" customHeight="1">
      <c r="A97" s="18" t="s">
        <v>205</v>
      </c>
      <c r="B97" s="19" t="s">
        <v>206</v>
      </c>
      <c r="C97" s="20" t="s">
        <v>207</v>
      </c>
      <c r="D97" s="21" t="s">
        <v>24</v>
      </c>
      <c r="E97" s="22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 ht="15.75" customHeight="1">
      <c r="A98" s="23"/>
      <c r="B98" s="19" t="s">
        <v>208</v>
      </c>
      <c r="C98" s="20" t="s">
        <v>209</v>
      </c>
      <c r="D98" s="21" t="s">
        <v>24</v>
      </c>
      <c r="E98" s="22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 ht="15.75" customHeight="1">
      <c r="A99" s="23"/>
      <c r="B99" s="19" t="s">
        <v>210</v>
      </c>
      <c r="C99" s="20" t="s">
        <v>211</v>
      </c>
      <c r="D99" s="21" t="s">
        <v>24</v>
      </c>
      <c r="E99" s="22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 ht="15.75" customHeight="1">
      <c r="A100" s="23"/>
      <c r="B100" s="19" t="s">
        <v>212</v>
      </c>
      <c r="C100" s="20" t="s">
        <v>213</v>
      </c>
      <c r="D100" s="21" t="s">
        <v>24</v>
      </c>
      <c r="E100" s="22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 ht="15.75" customHeight="1">
      <c r="A101" s="23"/>
      <c r="B101" s="19" t="s">
        <v>214</v>
      </c>
      <c r="C101" s="20" t="s">
        <v>215</v>
      </c>
      <c r="D101" s="21" t="s">
        <v>24</v>
      </c>
      <c r="E101" s="22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 ht="15.75" customHeight="1">
      <c r="A102" s="23"/>
      <c r="B102" s="19" t="s">
        <v>216</v>
      </c>
      <c r="C102" s="20" t="s">
        <v>217</v>
      </c>
      <c r="D102" s="21" t="s">
        <v>24</v>
      </c>
      <c r="E102" s="22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 ht="15.75" customHeight="1">
      <c r="A103" s="23"/>
      <c r="B103" s="19" t="s">
        <v>218</v>
      </c>
      <c r="C103" s="20" t="s">
        <v>219</v>
      </c>
      <c r="D103" s="21" t="s">
        <v>24</v>
      </c>
      <c r="E103" s="22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 ht="15.75" customHeight="1">
      <c r="A104" s="23"/>
      <c r="B104" s="19" t="s">
        <v>220</v>
      </c>
      <c r="C104" s="20" t="s">
        <v>221</v>
      </c>
      <c r="D104" s="21" t="s">
        <v>24</v>
      </c>
      <c r="E104" s="22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 ht="15.75" customHeight="1">
      <c r="A105" s="23"/>
      <c r="B105" s="19" t="s">
        <v>222</v>
      </c>
      <c r="C105" s="20" t="s">
        <v>223</v>
      </c>
      <c r="D105" s="21" t="s">
        <v>24</v>
      </c>
      <c r="E105" s="22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 ht="15.75" customHeight="1">
      <c r="A106" s="23"/>
      <c r="B106" s="19" t="s">
        <v>224</v>
      </c>
      <c r="C106" s="20" t="s">
        <v>225</v>
      </c>
      <c r="D106" s="21" t="s">
        <v>24</v>
      </c>
      <c r="E106" s="22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 ht="15.75" customHeight="1">
      <c r="A107" s="24"/>
      <c r="B107" s="19" t="s">
        <v>226</v>
      </c>
      <c r="C107" s="20" t="s">
        <v>227</v>
      </c>
      <c r="D107" s="21" t="s">
        <v>24</v>
      </c>
      <c r="E107" s="22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 ht="15.75" customHeight="1">
      <c r="A108" s="18" t="s">
        <v>228</v>
      </c>
      <c r="B108" s="19" t="s">
        <v>229</v>
      </c>
      <c r="C108" s="20" t="s">
        <v>230</v>
      </c>
      <c r="D108" s="21" t="s">
        <v>24</v>
      </c>
      <c r="E108" s="22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 ht="15.75" customHeight="1">
      <c r="A109" s="23"/>
      <c r="B109" s="19" t="s">
        <v>231</v>
      </c>
      <c r="C109" s="20" t="s">
        <v>232</v>
      </c>
      <c r="D109" s="21" t="s">
        <v>24</v>
      </c>
      <c r="E109" s="22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 ht="15.75" customHeight="1">
      <c r="A110" s="23"/>
      <c r="B110" s="19" t="s">
        <v>233</v>
      </c>
      <c r="C110" s="20" t="s">
        <v>234</v>
      </c>
      <c r="D110" s="21" t="s">
        <v>24</v>
      </c>
      <c r="E110" s="22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 ht="15.75" customHeight="1">
      <c r="A111" s="23"/>
      <c r="B111" s="19" t="s">
        <v>235</v>
      </c>
      <c r="C111" s="20" t="s">
        <v>236</v>
      </c>
      <c r="D111" s="21" t="s">
        <v>24</v>
      </c>
      <c r="E111" s="22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 ht="15.75" customHeight="1">
      <c r="A112" s="23"/>
      <c r="B112" s="19" t="s">
        <v>237</v>
      </c>
      <c r="C112" s="20" t="s">
        <v>238</v>
      </c>
      <c r="D112" s="21" t="s">
        <v>24</v>
      </c>
      <c r="E112" s="22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 ht="15.75" customHeight="1">
      <c r="A113" s="23"/>
      <c r="B113" s="19" t="s">
        <v>239</v>
      </c>
      <c r="C113" s="20" t="s">
        <v>240</v>
      </c>
      <c r="D113" s="21" t="s">
        <v>24</v>
      </c>
      <c r="E113" s="22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 ht="15.75" customHeight="1">
      <c r="A114" s="23"/>
      <c r="B114" s="19" t="s">
        <v>241</v>
      </c>
      <c r="C114" s="20" t="s">
        <v>242</v>
      </c>
      <c r="D114" s="21" t="s">
        <v>24</v>
      </c>
      <c r="E114" s="22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 ht="15.75" customHeight="1">
      <c r="A115" s="23"/>
      <c r="B115" s="19" t="s">
        <v>243</v>
      </c>
      <c r="C115" s="20" t="s">
        <v>244</v>
      </c>
      <c r="D115" s="21" t="s">
        <v>24</v>
      </c>
      <c r="E115" s="22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 ht="15.75" customHeight="1">
      <c r="A116" s="23"/>
      <c r="B116" s="19" t="s">
        <v>245</v>
      </c>
      <c r="C116" s="20" t="s">
        <v>246</v>
      </c>
      <c r="D116" s="21" t="s">
        <v>24</v>
      </c>
      <c r="E116" s="22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 ht="15.75" customHeight="1">
      <c r="A117" s="23"/>
      <c r="B117" s="19" t="s">
        <v>247</v>
      </c>
      <c r="C117" s="20" t="s">
        <v>248</v>
      </c>
      <c r="D117" s="21" t="s">
        <v>24</v>
      </c>
      <c r="E117" s="22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 ht="15.75" customHeight="1">
      <c r="A118" s="23"/>
      <c r="B118" s="19" t="s">
        <v>249</v>
      </c>
      <c r="C118" s="20" t="s">
        <v>250</v>
      </c>
      <c r="D118" s="21" t="s">
        <v>24</v>
      </c>
      <c r="E118" s="22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 ht="15.75" customHeight="1">
      <c r="A119" s="24"/>
      <c r="B119" s="19" t="s">
        <v>251</v>
      </c>
      <c r="C119" s="20" t="s">
        <v>252</v>
      </c>
      <c r="D119" s="21" t="s">
        <v>24</v>
      </c>
      <c r="E119" s="22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 ht="15.75" customHeight="1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 ht="15.75" customHeight="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 ht="15.75" customHeight="1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 ht="15.75" customHeight="1">
      <c r="A123" s="25" t="s">
        <v>253</v>
      </c>
      <c r="B123" s="7"/>
      <c r="C123" s="7"/>
      <c r="D123" s="8"/>
      <c r="E123" s="26" t="s">
        <v>254</v>
      </c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 ht="15.75" customHeight="1">
      <c r="A124" s="27"/>
      <c r="B124" s="7"/>
      <c r="C124" s="7"/>
      <c r="D124" s="8"/>
      <c r="E124" s="28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 ht="15.75" customHeight="1">
      <c r="A125" s="27"/>
      <c r="B125" s="7"/>
      <c r="C125" s="7"/>
      <c r="D125" s="8"/>
      <c r="E125" s="28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 ht="15.75" customHeight="1">
      <c r="A126" s="27"/>
      <c r="B126" s="7"/>
      <c r="C126" s="7"/>
      <c r="D126" s="8"/>
      <c r="E126" s="28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 ht="15.75" customHeight="1">
      <c r="A127" s="29"/>
      <c r="B127" s="7"/>
      <c r="C127" s="7"/>
      <c r="D127" s="8"/>
      <c r="E127" s="28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 ht="15.75" customHeight="1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 ht="15.75" customHeight="1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 ht="15.75" customHeight="1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 ht="15.75" customHeight="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 ht="15.75" customHeight="1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 ht="15.75" customHeight="1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 ht="15.75" customHeight="1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 ht="15.75" customHeight="1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 ht="15.75" customHeight="1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 ht="15.75" customHeight="1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 ht="15.75" customHeight="1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 ht="15.75" customHeight="1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 ht="15.75" customHeight="1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 ht="15.75" customHeight="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 ht="15.75" customHeight="1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 ht="15.75" customHeight="1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 ht="15.75" customHeight="1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 ht="15.75" customHeight="1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 ht="15.75" customHeight="1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 ht="15.75" customHeight="1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 ht="15.75" customHeight="1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 ht="15.75" customHeight="1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 ht="15.75" customHeight="1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 ht="15.75" customHeight="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 ht="15.75" customHeight="1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 ht="15.75" customHeight="1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 ht="15.75" customHeight="1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 ht="15.75" customHeight="1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 ht="15.75" customHeight="1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 ht="15.75" customHeight="1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 ht="15.75" customHeight="1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 ht="15.75" customHeight="1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 ht="15.75" customHeight="1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 ht="15.75" customHeight="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 ht="15.75" customHeight="1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 ht="15.75" customHeight="1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 ht="15.75" customHeight="1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 ht="15.75" customHeight="1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 ht="15.75" customHeight="1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 ht="15.75" customHeight="1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 ht="15.75" customHeight="1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 ht="15.75" customHeight="1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 ht="15.75" customHeight="1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 ht="15.75" customHeight="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 ht="15.75" customHeight="1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 ht="15.75" customHeight="1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 ht="15.75" customHeight="1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 ht="15.75" customHeight="1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 ht="15.75" customHeight="1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 ht="15.75" customHeight="1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 ht="15.75" customHeight="1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 ht="15.75" customHeight="1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 ht="15.75" customHeight="1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 ht="15.75" customHeight="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 ht="15.75" customHeight="1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 ht="15.75" customHeight="1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 ht="15.75" customHeight="1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 ht="15.75" customHeight="1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 ht="15.75" customHeight="1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 ht="15.75" customHeight="1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 ht="15.75" customHeight="1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 ht="15.75" customHeight="1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 ht="15.75" customHeight="1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 ht="15.75" customHeight="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 ht="15.75" customHeight="1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 ht="15.75" customHeight="1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 ht="15.75" customHeight="1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 ht="15.75" customHeight="1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 ht="15.75" customHeight="1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 ht="15.75" customHeight="1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 ht="15.75" customHeight="1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 ht="15.75" customHeight="1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 ht="15.75" customHeight="1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 ht="15.75" customHeight="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 ht="15.75" customHeight="1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 ht="15.75" customHeight="1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 ht="15.75" customHeight="1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 ht="15.75" customHeight="1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 ht="15.75" customHeight="1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 ht="15.75" customHeight="1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 ht="15.75" customHeight="1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 ht="15.75" customHeight="1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 ht="15.75" customHeight="1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 ht="15.75" customHeight="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 ht="15.75" customHeight="1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 ht="15.75" customHeight="1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 ht="15.75" customHeight="1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 ht="15.75" customHeight="1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 ht="15.75" customHeight="1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 ht="15.75" customHeight="1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 ht="15.75" customHeight="1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 ht="15.75" customHeight="1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 ht="15.75" customHeight="1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 ht="15.75" customHeight="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 ht="15.75" customHeight="1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 ht="15.75" customHeight="1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 ht="15.75" customHeight="1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 ht="15.75" customHeight="1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 ht="15.75" customHeight="1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 ht="15.75" customHeight="1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 ht="15.75" customHeight="1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 ht="15.75" customHeight="1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 ht="15.75" customHeight="1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 ht="15.75" customHeight="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 ht="15.75" customHeight="1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 ht="15.75" customHeight="1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 ht="15.75" customHeight="1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 ht="15.75" customHeight="1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 ht="15.75" customHeight="1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 ht="15.75" customHeight="1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 ht="15.75" customHeight="1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 ht="15.75" customHeight="1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 ht="15.75" customHeight="1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 ht="15.75" customHeight="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 ht="15.75" customHeight="1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 ht="15.75" customHeight="1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 ht="15.75" customHeight="1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 ht="15.75" customHeight="1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 ht="15.75" customHeight="1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 ht="15.75" customHeight="1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 ht="15.75" customHeight="1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 ht="15.75" customHeight="1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 ht="15.75" customHeight="1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 ht="15.75" customHeight="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 ht="15.75" customHeight="1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 ht="15.75" customHeight="1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 ht="15.75" customHeight="1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 ht="15.75" customHeight="1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 ht="15.75" customHeight="1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 ht="15.75" customHeight="1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 ht="15.75" customHeight="1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 ht="15.75" customHeight="1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 ht="15.75" customHeight="1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 ht="15.75" customHeight="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 ht="15.75" customHeight="1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 ht="15.75" customHeight="1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 ht="15.75" customHeight="1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 ht="15.75" customHeight="1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 ht="15.75" customHeight="1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 ht="15.75" customHeight="1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 ht="15.75" customHeight="1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 ht="15.75" customHeight="1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 ht="15.75" customHeight="1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 ht="15.75" customHeight="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 ht="15.75" customHeight="1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 ht="15.75" customHeight="1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 ht="15.75" customHeight="1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 ht="15.75" customHeight="1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 ht="15.75" customHeight="1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 ht="15.75" customHeight="1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 ht="15.75" customHeight="1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 ht="15.75" customHeight="1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 ht="15.75" customHeight="1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 ht="15.75" customHeight="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 ht="15.75" customHeight="1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 ht="15.75" customHeight="1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 ht="15.75" customHeight="1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 ht="15.75" customHeight="1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 ht="15.75" customHeight="1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 ht="15.75" customHeight="1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 ht="15.75" customHeight="1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 ht="15.75" customHeight="1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 ht="15.75" customHeight="1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 ht="15.75" customHeight="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 ht="15.75" customHeight="1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 ht="15.75" customHeight="1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 ht="15.75" customHeight="1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 ht="15.75" customHeight="1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 ht="15.75" customHeight="1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 ht="15.75" customHeight="1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 ht="15.75" customHeight="1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 ht="15.75" customHeight="1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 ht="15.75" customHeight="1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ht="15.75" customHeight="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 ht="15.75" customHeight="1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 ht="15.75" customHeight="1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 ht="15.75" customHeight="1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ht="15.75" customHeight="1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ht="15.75" customHeight="1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ht="15.75" customHeight="1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ht="15.75" customHeight="1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ht="15.75" customHeight="1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ht="15.75" customHeight="1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ht="15.75" customHeight="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ht="15.75" customHeight="1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ht="15.75" customHeight="1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ht="15.75" customHeight="1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ht="15.75" customHeight="1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ht="15.75" customHeight="1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ht="15.75" customHeight="1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ht="15.75" customHeight="1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ht="15.75" customHeight="1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ht="15.75" customHeight="1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ht="15.75" customHeight="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ht="15.75" customHeight="1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ht="15.75" customHeight="1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ht="15.75" customHeight="1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ht="15.75" customHeight="1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ht="15.75" customHeight="1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ht="15.75" customHeight="1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ht="15.75" customHeight="1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ht="15.75" customHeight="1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ht="15.75" customHeight="1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ht="15.75" customHeight="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ht="15.75" customHeight="1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ht="15.75" customHeight="1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ht="15.75" customHeight="1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ht="15.75" customHeight="1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ht="15.75" customHeight="1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ht="15.75" customHeight="1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ht="15.75" customHeight="1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ht="15.75" customHeight="1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ht="15.75" customHeight="1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ht="15.75" customHeight="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ht="15.75" customHeight="1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ht="15.75" customHeight="1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ht="15.75" customHeight="1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ht="15.75" customHeight="1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ht="15.75" customHeight="1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ht="15.75" customHeight="1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ht="15.75" customHeight="1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ht="15.75" customHeight="1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ht="15.75" customHeight="1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ht="15.75" customHeight="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ht="15.75" customHeight="1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ht="15.75" customHeight="1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ht="15.75" customHeight="1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ht="15.75" customHeight="1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ht="15.75" customHeight="1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ht="15.75" customHeight="1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ht="15.75" customHeight="1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ht="15.75" customHeight="1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ht="15.75" customHeight="1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ht="15.75" customHeight="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ht="15.75" customHeight="1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ht="15.75" customHeight="1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ht="15.75" customHeight="1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ht="15.75" customHeight="1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ht="15.75" customHeight="1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ht="15.75" customHeight="1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ht="15.75" customHeight="1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ht="15.75" customHeight="1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ht="15.75" customHeight="1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ht="15.75" customHeight="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ht="15.75" customHeight="1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ht="15.75" customHeight="1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ht="15.75" customHeight="1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ht="15.75" customHeight="1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ht="15.75" customHeight="1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ht="15.75" customHeight="1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ht="15.75" customHeight="1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ht="15.75" customHeight="1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ht="15.75" customHeight="1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ht="15.75" customHeight="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ht="15.75" customHeight="1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ht="15.75" customHeight="1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ht="15.75" customHeight="1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ht="15.75" customHeight="1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ht="15.75" customHeight="1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ht="15.75" customHeight="1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ht="15.75" customHeight="1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ht="15.75" customHeight="1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ht="15.75" customHeight="1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ht="15.75" customHeight="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ht="15.75" customHeight="1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ht="15.75" customHeight="1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ht="15.75" customHeight="1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ht="15.75" customHeight="1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ht="15.75" customHeight="1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ht="15.75" customHeight="1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ht="15.75" customHeight="1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ht="15.75" customHeight="1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ht="15.75" customHeight="1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ht="15.75" customHeight="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ht="15.75" customHeight="1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ht="15.75" customHeight="1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ht="15.75" customHeight="1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ht="15.75" customHeight="1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ht="15.75" customHeight="1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ht="15.75" customHeight="1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ht="15.75" customHeight="1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ht="15.75" customHeight="1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ht="15.75" customHeight="1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ht="15.75" customHeight="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ht="15.75" customHeight="1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ht="15.75" customHeight="1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ht="15.75" customHeight="1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ht="15.75" customHeight="1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ht="15.75" customHeight="1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ht="15.75" customHeight="1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ht="15.75" customHeight="1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ht="15.75" customHeight="1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ht="15.75" customHeight="1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ht="15.75" customHeight="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ht="15.75" customHeight="1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ht="15.75" customHeight="1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ht="15.75" customHeight="1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ht="15.75" customHeight="1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ht="15.75" customHeight="1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ht="15.75" customHeight="1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ht="15.75" customHeight="1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ht="15.75" customHeight="1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ht="15.75" customHeight="1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ht="15.75" customHeight="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ht="15.75" customHeight="1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ht="15.75" customHeight="1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ht="15.75" customHeight="1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ht="15.75" customHeight="1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ht="15.75" customHeight="1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ht="15.75" customHeight="1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ht="15.75" customHeight="1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ht="15.75" customHeight="1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ht="15.75" customHeight="1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ht="15.75" customHeight="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ht="15.75" customHeight="1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ht="15.75" customHeight="1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ht="15.75" customHeight="1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ht="15.75" customHeight="1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ht="15.75" customHeight="1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ht="15.75" customHeight="1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ht="15.75" customHeight="1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ht="15.75" customHeight="1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ht="15.75" customHeight="1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ht="15.75" customHeight="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ht="15.75" customHeight="1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ht="15.75" customHeight="1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ht="15.75" customHeight="1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ht="15.75" customHeight="1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ht="15.75" customHeight="1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ht="15.75" customHeight="1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ht="15.75" customHeight="1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ht="15.75" customHeight="1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ht="15.75" customHeight="1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ht="15.75" customHeight="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ht="15.75" customHeight="1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ht="15.75" customHeight="1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ht="15.75" customHeight="1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ht="15.75" customHeight="1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ht="15.75" customHeight="1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ht="15.75" customHeight="1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ht="15.75" customHeight="1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ht="15.75" customHeight="1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ht="15.75" customHeight="1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ht="15.75" customHeight="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ht="15.75" customHeight="1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ht="15.75" customHeight="1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ht="15.75" customHeight="1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ht="15.75" customHeight="1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ht="15.75" customHeight="1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ht="15.75" customHeight="1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ht="15.75" customHeight="1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ht="15.75" customHeight="1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ht="15.75" customHeight="1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ht="15.75" customHeight="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ht="15.75" customHeight="1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ht="15.75" customHeight="1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ht="15.75" customHeight="1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ht="15.75" customHeight="1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ht="15.75" customHeight="1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ht="15.75" customHeight="1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ht="15.75" customHeight="1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ht="15.75" customHeight="1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ht="15.75" customHeight="1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ht="15.75" customHeight="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ht="15.75" customHeight="1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ht="15.75" customHeight="1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ht="15.75" customHeight="1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ht="15.75" customHeight="1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ht="15.75" customHeight="1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ht="15.75" customHeight="1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ht="15.75" customHeight="1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ht="15.75" customHeight="1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ht="15.75" customHeight="1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ht="15.75" customHeight="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ht="15.75" customHeight="1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ht="15.75" customHeight="1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ht="15.75" customHeight="1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ht="15.75" customHeight="1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ht="15.75" customHeight="1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ht="15.75" customHeight="1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ht="15.75" customHeight="1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ht="15.75" customHeight="1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ht="15.75" customHeight="1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ht="15.75" customHeight="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ht="15.75" customHeight="1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ht="15.75" customHeight="1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ht="15.75" customHeight="1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ht="15.75" customHeight="1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ht="15.75" customHeight="1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ht="15.75" customHeight="1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ht="15.75" customHeight="1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ht="15.75" customHeight="1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ht="15.75" customHeight="1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ht="15.75" customHeight="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ht="15.75" customHeight="1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ht="15.75" customHeight="1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ht="15.75" customHeight="1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ht="15.75" customHeight="1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ht="15.75" customHeight="1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ht="15.75" customHeight="1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ht="15.75" customHeight="1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ht="15.75" customHeight="1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ht="15.75" customHeight="1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ht="15.75" customHeight="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ht="15.75" customHeight="1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ht="15.75" customHeight="1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ht="15.75" customHeight="1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ht="15.75" customHeight="1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ht="15.75" customHeight="1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ht="15.75" customHeight="1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ht="15.75" customHeight="1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ht="15.75" customHeight="1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ht="15.75" customHeight="1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ht="15.75" customHeight="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ht="15.75" customHeight="1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ht="15.75" customHeight="1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ht="15.75" customHeight="1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ht="15.75" customHeight="1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ht="15.75" customHeight="1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ht="15.75" customHeight="1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ht="15.75" customHeight="1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ht="15.75" customHeight="1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ht="15.75" customHeight="1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ht="15.75" customHeight="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ht="15.75" customHeight="1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ht="15.75" customHeight="1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ht="15.75" customHeight="1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ht="15.75" customHeight="1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ht="15.75" customHeight="1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ht="15.75" customHeight="1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ht="15.75" customHeight="1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ht="15.75" customHeight="1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ht="15.75" customHeight="1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ht="15.75" customHeight="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ht="15.75" customHeight="1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ht="15.75" customHeight="1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ht="15.75" customHeight="1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ht="15.75" customHeight="1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ht="15.75" customHeight="1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ht="15.75" customHeight="1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ht="15.75" customHeight="1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ht="15.75" customHeight="1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ht="15.75" customHeight="1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ht="15.75" customHeight="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ht="15.75" customHeight="1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ht="15.75" customHeight="1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ht="15.75" customHeight="1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ht="15.75" customHeight="1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ht="15.75" customHeight="1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ht="15.75" customHeight="1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ht="15.75" customHeight="1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ht="15.75" customHeight="1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ht="15.75" customHeight="1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ht="15.75" customHeight="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ht="15.75" customHeight="1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ht="15.75" customHeight="1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ht="15.75" customHeight="1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ht="15.75" customHeight="1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ht="15.75" customHeight="1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ht="15.75" customHeight="1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ht="15.75" customHeight="1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ht="15.75" customHeight="1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ht="15.75" customHeight="1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ht="15.75" customHeight="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ht="15.75" customHeight="1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ht="15.75" customHeight="1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ht="15.75" customHeight="1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ht="15.75" customHeight="1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ht="15.75" customHeight="1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ht="15.75" customHeight="1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ht="15.75" customHeight="1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ht="15.75" customHeight="1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ht="15.75" customHeight="1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ht="15.75" customHeight="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ht="15.75" customHeight="1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ht="15.75" customHeight="1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ht="15.75" customHeight="1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ht="15.75" customHeight="1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ht="15.75" customHeight="1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ht="15.75" customHeight="1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ht="15.75" customHeight="1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ht="15.75" customHeight="1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ht="15.75" customHeight="1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ht="15.75" customHeight="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ht="15.75" customHeight="1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ht="15.75" customHeight="1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ht="15.75" customHeight="1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ht="15.75" customHeight="1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ht="15.75" customHeight="1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ht="15.75" customHeight="1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ht="15.75" customHeight="1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ht="15.75" customHeight="1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ht="15.75" customHeight="1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ht="15.75" customHeight="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ht="15.75" customHeight="1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ht="15.75" customHeight="1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ht="15.75" customHeight="1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ht="15.75" customHeight="1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ht="15.75" customHeight="1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ht="15.75" customHeight="1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ht="15.75" customHeight="1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ht="15.75" customHeight="1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ht="15.75" customHeight="1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ht="15.75" customHeight="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ht="15.75" customHeight="1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ht="15.75" customHeight="1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ht="15.75" customHeight="1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ht="15.75" customHeight="1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ht="15.75" customHeight="1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ht="15.75" customHeight="1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ht="15.75" customHeight="1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ht="15.75" customHeight="1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ht="15.75" customHeight="1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ht="15.75" customHeight="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ht="15.75" customHeight="1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ht="15.75" customHeight="1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ht="15.75" customHeight="1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ht="15.75" customHeight="1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ht="15.75" customHeight="1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ht="15.75" customHeight="1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ht="15.75" customHeight="1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ht="15.75" customHeight="1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ht="15.75" customHeight="1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ht="15.75" customHeight="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ht="15.75" customHeight="1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ht="15.75" customHeight="1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ht="15.75" customHeight="1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ht="15.75" customHeight="1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ht="15.75" customHeight="1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ht="15.75" customHeight="1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ht="15.75" customHeight="1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ht="15.75" customHeight="1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ht="15.75" customHeight="1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ht="15.75" customHeight="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ht="15.75" customHeight="1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ht="15.75" customHeight="1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ht="15.75" customHeight="1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ht="15.75" customHeight="1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ht="15.75" customHeight="1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ht="15.75" customHeight="1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ht="15.75" customHeight="1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ht="15.75" customHeight="1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ht="15.75" customHeight="1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ht="15.75" customHeight="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ht="15.75" customHeight="1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ht="15.75" customHeight="1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ht="15.75" customHeight="1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ht="15.75" customHeight="1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ht="15.75" customHeight="1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ht="15.75" customHeight="1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ht="15.75" customHeight="1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ht="15.75" customHeight="1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ht="15.75" customHeight="1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ht="15.75" customHeight="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ht="15.75" customHeight="1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ht="15.75" customHeight="1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ht="15.75" customHeight="1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ht="15.75" customHeight="1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ht="15.75" customHeight="1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ht="15.75" customHeight="1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ht="15.75" customHeight="1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ht="15.75" customHeight="1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ht="15.75" customHeight="1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ht="15.75" customHeight="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ht="15.75" customHeight="1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ht="15.75" customHeight="1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ht="15.75" customHeight="1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ht="15.75" customHeight="1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ht="15.75" customHeight="1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ht="15.75" customHeight="1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ht="15.75" customHeight="1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ht="15.75" customHeight="1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ht="15.75" customHeight="1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ht="15.75" customHeight="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ht="15.75" customHeight="1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ht="15.75" customHeight="1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ht="15.75" customHeight="1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ht="15.75" customHeight="1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ht="15.75" customHeight="1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ht="15.75" customHeight="1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ht="15.75" customHeight="1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ht="15.75" customHeight="1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ht="15.75" customHeight="1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ht="15.75" customHeight="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ht="15.75" customHeight="1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ht="15.75" customHeight="1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ht="15.75" customHeight="1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ht="15.75" customHeight="1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ht="15.75" customHeight="1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ht="15.75" customHeight="1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ht="15.75" customHeight="1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ht="15.75" customHeight="1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ht="15.75" customHeight="1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ht="15.75" customHeight="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ht="15.75" customHeight="1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ht="15.75" customHeight="1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ht="15.75" customHeight="1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ht="15.75" customHeight="1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ht="15.75" customHeight="1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ht="15.75" customHeight="1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ht="15.75" customHeight="1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ht="15.75" customHeight="1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ht="15.75" customHeight="1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ht="15.75" customHeight="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ht="15.75" customHeight="1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ht="15.75" customHeight="1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ht="15.75" customHeight="1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ht="15.75" customHeight="1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ht="15.75" customHeight="1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ht="15.75" customHeight="1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ht="15.75" customHeight="1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ht="15.75" customHeight="1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ht="15.75" customHeight="1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ht="15.75" customHeight="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ht="15.75" customHeight="1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ht="15.75" customHeight="1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ht="15.75" customHeight="1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ht="15.75" customHeight="1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ht="15.75" customHeight="1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ht="15.75" customHeight="1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ht="15.75" customHeight="1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ht="15.75" customHeight="1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ht="15.75" customHeight="1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ht="15.75" customHeight="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ht="15.75" customHeight="1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ht="15.75" customHeight="1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ht="15.75" customHeight="1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ht="15.75" customHeight="1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ht="15.75" customHeight="1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ht="15.75" customHeight="1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ht="15.75" customHeight="1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ht="15.75" customHeight="1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ht="15.75" customHeight="1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ht="15.75" customHeight="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ht="15.75" customHeight="1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ht="15.75" customHeight="1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ht="15.75" customHeight="1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ht="15.75" customHeight="1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ht="15.75" customHeight="1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ht="15.75" customHeight="1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ht="15.75" customHeight="1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ht="15.75" customHeight="1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ht="15.75" customHeight="1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ht="15.75" customHeight="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ht="15.75" customHeight="1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ht="15.75" customHeight="1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ht="15.75" customHeight="1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ht="15.75" customHeight="1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ht="15.75" customHeight="1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ht="15.75" customHeight="1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ht="15.75" customHeight="1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ht="15.75" customHeight="1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ht="15.75" customHeight="1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ht="15.75" customHeight="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ht="15.75" customHeight="1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ht="15.75" customHeight="1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ht="15.75" customHeight="1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ht="15.75" customHeight="1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ht="15.75" customHeight="1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ht="15.75" customHeight="1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ht="15.75" customHeight="1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ht="15.75" customHeight="1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ht="15.75" customHeight="1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ht="15.75" customHeight="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ht="15.75" customHeight="1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ht="15.75" customHeight="1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ht="15.75" customHeight="1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ht="15.75" customHeight="1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ht="15.75" customHeight="1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ht="15.75" customHeight="1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ht="15.75" customHeight="1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ht="15.75" customHeight="1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ht="15.75" customHeight="1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ht="15.75" customHeight="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ht="15.75" customHeight="1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ht="15.75" customHeight="1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ht="15.75" customHeight="1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ht="15.75" customHeight="1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ht="15.75" customHeight="1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ht="15.75" customHeight="1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ht="15.75" customHeight="1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ht="15.75" customHeight="1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ht="15.75" customHeight="1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ht="15.75" customHeight="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ht="15.75" customHeight="1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ht="15.75" customHeight="1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ht="15.75" customHeight="1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ht="15.75" customHeight="1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ht="15.75" customHeight="1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ht="15.75" customHeight="1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ht="15.75" customHeight="1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ht="15.75" customHeight="1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ht="15.75" customHeight="1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ht="15.75" customHeight="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ht="15.75" customHeight="1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ht="15.75" customHeight="1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ht="15.75" customHeight="1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ht="15.75" customHeight="1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ht="15.75" customHeight="1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ht="15.75" customHeight="1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ht="15.75" customHeight="1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ht="15.75" customHeight="1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ht="15.75" customHeight="1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ht="15.75" customHeight="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ht="15.75" customHeight="1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ht="15.75" customHeight="1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ht="15.75" customHeight="1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ht="15.75" customHeight="1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ht="15.75" customHeight="1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ht="15.75" customHeight="1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ht="15.75" customHeight="1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ht="15.75" customHeight="1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ht="15.75" customHeight="1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ht="15.75" customHeight="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ht="15.75" customHeight="1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ht="15.75" customHeight="1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ht="15.75" customHeight="1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ht="15.75" customHeight="1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ht="15.75" customHeight="1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ht="15.75" customHeight="1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ht="15.75" customHeight="1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ht="15.75" customHeight="1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ht="15.75" customHeight="1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ht="15.75" customHeight="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ht="15.75" customHeight="1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ht="15.75" customHeight="1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ht="15.75" customHeight="1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ht="15.75" customHeight="1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ht="15.75" customHeight="1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ht="15.75" customHeight="1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ht="15.75" customHeight="1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ht="15.75" customHeight="1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ht="15.75" customHeight="1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ht="15.75" customHeight="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ht="15.75" customHeight="1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ht="15.75" customHeight="1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ht="15.75" customHeight="1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ht="15.75" customHeight="1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ht="15.75" customHeight="1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ht="15.75" customHeight="1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ht="15.75" customHeight="1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ht="15.75" customHeight="1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ht="15.75" customHeight="1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ht="15.75" customHeight="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ht="15.75" customHeight="1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ht="15.75" customHeight="1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ht="15.75" customHeight="1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ht="15.75" customHeight="1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ht="15.75" customHeight="1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ht="15.75" customHeight="1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ht="15.75" customHeight="1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ht="15.75" customHeight="1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ht="15.75" customHeight="1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ht="15.75" customHeight="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ht="15.75" customHeight="1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ht="15.75" customHeight="1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ht="15.75" customHeight="1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ht="15.75" customHeight="1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ht="15.75" customHeight="1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ht="15.75" customHeight="1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ht="15.75" customHeight="1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ht="15.75" customHeight="1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ht="15.75" customHeight="1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ht="15.75" customHeight="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ht="15.75" customHeight="1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ht="15.75" customHeight="1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ht="15.75" customHeight="1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ht="15.75" customHeight="1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ht="15.75" customHeight="1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ht="15.75" customHeight="1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ht="15.75" customHeight="1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ht="15.75" customHeight="1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ht="15.75" customHeight="1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ht="15.75" customHeight="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ht="15.75" customHeight="1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ht="15.75" customHeight="1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ht="15.75" customHeight="1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ht="15.75" customHeight="1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ht="15.75" customHeight="1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ht="15.75" customHeight="1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ht="15.75" customHeight="1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ht="15.75" customHeight="1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ht="15.75" customHeight="1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ht="15.75" customHeight="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ht="15.75" customHeight="1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ht="15.75" customHeight="1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ht="15.75" customHeight="1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ht="15.75" customHeight="1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ht="15.75" customHeight="1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ht="15.75" customHeight="1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ht="15.75" customHeight="1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ht="15.75" customHeight="1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ht="15.75" customHeight="1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ht="15.75" customHeight="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ht="15.75" customHeight="1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ht="15.75" customHeight="1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ht="15.75" customHeight="1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ht="15.75" customHeight="1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ht="15.75" customHeight="1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ht="15.75" customHeight="1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ht="15.75" customHeight="1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ht="15.75" customHeight="1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ht="15.75" customHeight="1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ht="15.75" customHeight="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ht="15.75" customHeight="1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ht="15.75" customHeight="1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ht="15.75" customHeight="1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ht="15.75" customHeight="1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ht="15.75" customHeight="1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ht="15.75" customHeight="1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ht="15.75" customHeight="1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ht="15.75" customHeight="1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ht="15.75" customHeight="1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ht="15.75" customHeight="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ht="15.75" customHeight="1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ht="15.75" customHeight="1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ht="15.75" customHeight="1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ht="15.75" customHeight="1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ht="15.75" customHeight="1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ht="15.75" customHeight="1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ht="15.75" customHeight="1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ht="15.75" customHeight="1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ht="15.75" customHeight="1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ht="15.75" customHeight="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ht="15.75" customHeight="1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ht="15.75" customHeight="1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ht="15.75" customHeight="1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ht="15.75" customHeight="1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ht="15.75" customHeight="1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ht="15.75" customHeight="1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ht="15.75" customHeight="1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ht="15.75" customHeight="1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ht="15.75" customHeight="1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ht="15.75" customHeight="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ht="15.75" customHeight="1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ht="15.75" customHeight="1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ht="15.75" customHeight="1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ht="15.75" customHeight="1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ht="15.75" customHeight="1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ht="15.75" customHeight="1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ht="15.75" customHeight="1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ht="15.75" customHeight="1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ht="15.75" customHeight="1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ht="15.75" customHeight="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ht="15.75" customHeight="1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ht="15.75" customHeight="1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ht="15.75" customHeight="1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ht="15.75" customHeight="1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ht="15.75" customHeight="1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ht="15.75" customHeight="1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ht="15.75" customHeight="1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ht="15.75" customHeight="1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ht="15.75" customHeight="1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ht="15.75" customHeight="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ht="15.75" customHeight="1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ht="15.75" customHeight="1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ht="15.75" customHeight="1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ht="15.75" customHeight="1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ht="15.75" customHeight="1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ht="15.75" customHeight="1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ht="15.75" customHeight="1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ht="15.75" customHeight="1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ht="15.75" customHeight="1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ht="15.75" customHeight="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ht="15.75" customHeight="1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ht="15.75" customHeight="1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ht="15.75" customHeight="1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ht="15.75" customHeight="1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ht="15.75" customHeight="1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ht="15.75" customHeight="1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ht="15.75" customHeight="1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ht="15.75" customHeight="1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ht="15.75" customHeight="1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</sheetData>
  <mergeCells count="28">
    <mergeCell ref="A1:D1"/>
    <mergeCell ref="A3:C3"/>
    <mergeCell ref="A4:C4"/>
    <mergeCell ref="A5:C5"/>
    <mergeCell ref="A6:C6"/>
    <mergeCell ref="A7:C7"/>
    <mergeCell ref="A8:C8"/>
    <mergeCell ref="A9:C9"/>
    <mergeCell ref="A10:C10"/>
    <mergeCell ref="A11:C11"/>
    <mergeCell ref="A14:A22"/>
    <mergeCell ref="A23:A24"/>
    <mergeCell ref="A25:A27"/>
    <mergeCell ref="A28:A40"/>
    <mergeCell ref="A97:A107"/>
    <mergeCell ref="A108:A119"/>
    <mergeCell ref="A123:D123"/>
    <mergeCell ref="A124:D124"/>
    <mergeCell ref="A125:D125"/>
    <mergeCell ref="A126:D126"/>
    <mergeCell ref="A127:D127"/>
    <mergeCell ref="A41:A48"/>
    <mergeCell ref="A49:A50"/>
    <mergeCell ref="A51:A55"/>
    <mergeCell ref="A56:A65"/>
    <mergeCell ref="A66:A69"/>
    <mergeCell ref="A70:A83"/>
    <mergeCell ref="A84:A96"/>
  </mergeCells>
  <conditionalFormatting sqref="B14:E119">
    <cfRule type="expression" dxfId="0" priority="1">
      <formula>$D14="Non testé"</formula>
    </cfRule>
  </conditionalFormatting>
  <conditionalFormatting sqref="B14:E119">
    <cfRule type="expression" dxfId="1" priority="2">
      <formula>$D14="Dérogé"</formula>
    </cfRule>
  </conditionalFormatting>
  <conditionalFormatting sqref="B14:E119">
    <cfRule type="expression" dxfId="2" priority="3">
      <formula>$D14="Conforme"</formula>
    </cfRule>
  </conditionalFormatting>
  <conditionalFormatting sqref="B14:E119">
    <cfRule type="expression" dxfId="3" priority="4">
      <formula>$D14="Non conforme"</formula>
    </cfRule>
  </conditionalFormatting>
  <dataValidations>
    <dataValidation type="list" allowBlank="1" showErrorMessage="1" sqref="D14:D119">
      <formula1>"Conforme,Non conforme,Non applicable,Dérogé,Non testé"</formula1>
    </dataValidation>
  </dataValidations>
  <printOptions/>
  <pageMargins bottom="0.75" footer="0.0" header="0.0" left="0.7" right="0.7" top="0.75"/>
  <pageSetup paperSize="9" orientation="portrait"/>
  <drawing r:id="rId1"/>
</worksheet>
</file>
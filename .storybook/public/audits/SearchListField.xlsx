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ARRIER-32221\Documents\design-system-v3\.storybook\public\audits\"/>
    </mc:Choice>
  </mc:AlternateContent>
  <bookViews>
    <workbookView xWindow="4644" yWindow="756" windowWidth="25596" windowHeight="17640"/>
  </bookViews>
  <sheets>
    <sheet name="SearchListField" sheetId="2" r:id="rId1"/>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7" i="2" l="1"/>
  <c r="D8" i="2"/>
  <c r="D9" i="2" l="1"/>
  <c r="D6" i="2"/>
  <c r="D5" i="2"/>
  <c r="D10" i="2" l="1"/>
  <c r="D11" i="2" s="1"/>
</calcChain>
</file>

<file path=xl/sharedStrings.xml><?xml version="1.0" encoding="utf-8"?>
<sst xmlns="http://schemas.openxmlformats.org/spreadsheetml/2006/main" count="386" uniqueCount="280">
  <si>
    <t>Thématique</t>
  </si>
  <si>
    <t>Recommandation</t>
  </si>
  <si>
    <t>IMAGES</t>
  </si>
  <si>
    <t>1.1</t>
  </si>
  <si>
    <t>Chaque image porteuse d’information a-t-elle une alternative textuelle ?</t>
  </si>
  <si>
    <t>1.2</t>
  </si>
  <si>
    <t>Chaque image de décoration est-elle correctement ignorée par les technologies d’assistance ?</t>
  </si>
  <si>
    <t>1.3</t>
  </si>
  <si>
    <t>Pour chaque image porteuse d'information ayant une alternative textuelle, cette alternative est-elle pertinente (hors cas particuliers) ?</t>
  </si>
  <si>
    <t>1.4</t>
  </si>
  <si>
    <t>Pour chaque image utilisée comme CAPTCHA ou comme image-test, ayant une alternative textuelle, cette alternative permet-elle d’identifier la nature et la fonction de l’image ?</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</si>
  <si>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</si>
  <si>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</si>
  <si>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</si>
  <si>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</si>
  <si>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</si>
  <si>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</si>
  <si>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</si>
  <si>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</si>
  <si>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</si>
  <si>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</si>
  <si>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</si>
  <si>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</si>
  <si>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</si>
  <si>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</si>
  <si>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</si>
  <si>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</si>
  <si>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</si>
  <si>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</si>
  <si>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</si>
  <si>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</si>
  <si>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3.3</t>
  </si>
  <si>
    <t>Dans chaque page web, les couleurs utilisées dans les composants d’interface ou les éléments graphiques porteurs d’informations sont-elles suffisamment contrastées (hors cas particuliers) ?</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</si>
  <si>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</si>
  <si>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</si>
  <si>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</si>
  <si>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</si>
  <si>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</si>
  <si>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</si>
  <si>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</si>
  <si>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</si>
  <si>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</si>
  <si>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</si>
  <si>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</si>
  <si>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</si>
  <si>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</si>
  <si>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</si>
  <si>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</si>
  <si>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</si>
  <si>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</si>
  <si>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</si>
  <si>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</si>
  <si>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</si>
  <si>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</si>
  <si>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</si>
  <si>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</si>
  <si>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</si>
  <si>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</si>
  <si>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</si>
  <si>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</si>
  <si>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</si>
  <si>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</si>
  <si>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</si>
  <si>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</si>
  <si>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</si>
  <si>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</si>
  <si>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</si>
  <si>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</si>
  <si>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</si>
  <si>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</si>
  <si>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</si>
  <si>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</si>
  <si>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</si>
  <si>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</si>
  <si>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</si>
  <si>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</si>
  <si>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</si>
  <si>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</si>
  <si>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</si>
  <si>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</si>
  <si>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6.2</t>
  </si>
  <si>
    <t>Dans chaque page web, chaque lien a-t-il un intitulé ?</t>
  </si>
  <si>
    <t>SCRIPTS</t>
  </si>
  <si>
    <t>7.1</t>
  </si>
  <si>
    <t>Chaque script est-il, si nécessaire, compatible avec les technologies d’assistance ?</t>
  </si>
  <si>
    <t>7.2</t>
  </si>
  <si>
    <t>Pour chaque script ayant une alternative, cette alternative est-elle pertinente ?</t>
  </si>
  <si>
    <t>7.3</t>
  </si>
  <si>
    <t>Chaque script est-il contrôlable par le clavier et par tout dispositif de pointage (hors cas particuliers)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</si>
  <si>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</si>
  <si>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</si>
  <si>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</si>
  <si>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</si>
  <si>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</si>
  <si>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</si>
  <si>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</si>
  <si>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</si>
  <si>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</si>
  <si>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</si>
  <si>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</si>
  <si>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</si>
  <si>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</si>
  <si>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</si>
  <si>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</si>
  <si>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</si>
  <si>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</si>
  <si>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</si>
  <si>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</si>
  <si>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</si>
  <si>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</si>
  <si>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</si>
  <si>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</si>
  <si>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</si>
  <si>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</si>
  <si>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</si>
  <si>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</si>
  <si>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</si>
  <si>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9.2</t>
  </si>
  <si>
    <t>Dans chaque page web, la structure du document est-elle cohérente (hors cas particuliers) ?</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</si>
  <si>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</si>
  <si>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</si>
  <si>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</si>
  <si>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</si>
  <si>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</si>
  <si>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</si>
  <si>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</si>
  <si>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10.2</t>
  </si>
  <si>
    <t>Dans chaque page web, le contenu visible porteur d’information reste-t-il présent lorsque les feuilles de styles sont désactivées ?</t>
  </si>
  <si>
    <t>10.3</t>
  </si>
  <si>
    <t>Dans chaque page web, l’information reste-t-elle compréhensible lorsque les feuilles de styles sont désactivées ?</t>
  </si>
  <si>
    <t>10.4</t>
  </si>
  <si>
    <t>Dans chaque page web, le texte reste-t-il lisible lorsque la taille des caractères est augmentée jusqu’à 200%, au moins (hors cas particuliers) ?</t>
  </si>
  <si>
    <t>10.5</t>
  </si>
  <si>
    <t>Dans chaque page web, les déclarations CSS de couleurs de fond d’élément et de police sont-elles correctement utilisées ?</t>
  </si>
  <si>
    <t>10.6</t>
  </si>
  <si>
    <t>Dans chaque page web, chaque lien dont la nature n’est pas évidente est-il visible par rapport au texte environnant ?</t>
  </si>
  <si>
    <t>10.7</t>
  </si>
  <si>
    <t>Dans chaque page web, pour chaque élément recevant le focus, la prise de focus est-elle visible ?</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</si>
  <si>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</si>
  <si>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</si>
  <si>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</si>
  <si>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</si>
  <si>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</si>
  <si>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</si>
  <si>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</si>
  <si>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</si>
  <si>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10.12</t>
  </si>
  <si>
    <t>Dans chaque page web, les propriétés d’espacement du texte peuvent-elles être redéfinies par l’utilisateur sans perte de contenu ou de fonctionnalité (hors cas particuliers)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</si>
  <si>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</si>
  <si>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</si>
  <si>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</si>
  <si>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</si>
  <si>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</si>
  <si>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</si>
  <si>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</si>
  <si>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</si>
  <si>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</si>
  <si>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</si>
  <si>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</si>
  <si>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</si>
  <si>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</si>
  <si>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</si>
  <si>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</si>
  <si>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</si>
  <si>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</si>
  <si>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</si>
  <si>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</si>
  <si>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</si>
  <si>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</si>
  <si>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</si>
  <si>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</si>
  <si>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</si>
  <si>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</si>
  <si>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</si>
  <si>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</si>
  <si>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</si>
  <si>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</si>
  <si>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</si>
  <si>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</si>
  <si>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</si>
  <si>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</si>
  <si>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</si>
  <si>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</si>
  <si>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</si>
  <si>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</si>
  <si>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</si>
  <si>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</si>
  <si>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</si>
  <si>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</si>
  <si>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</si>
  <si>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</si>
  <si>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</si>
  <si>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</si>
  <si>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</si>
  <si>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</si>
  <si>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</si>
  <si>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12.9</t>
  </si>
  <si>
    <t>Dans chaque page web, la navigation ne doit pas contenir de piège au clavier. Cette règle est-elle respectée ?</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</si>
  <si>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</si>
  <si>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</si>
  <si>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</si>
  <si>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</si>
  <si>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</si>
  <si>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</si>
  <si>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</si>
  <si>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</si>
  <si>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</si>
  <si>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</si>
  <si>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</si>
  <si>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</si>
  <si>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</si>
  <si>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</si>
  <si>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</si>
  <si>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</si>
  <si>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</si>
  <si>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</si>
  <si>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</si>
  <si>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</si>
  <si>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</si>
  <si>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</si>
  <si>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</si>
  <si>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</si>
  <si>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</si>
  <si>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</si>
  <si>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</si>
  <si>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</si>
  <si>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</si>
  <si>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Conformité</t>
  </si>
  <si>
    <t>Description de l'erreur / Remarques / Questions</t>
  </si>
  <si>
    <t>N° critère</t>
  </si>
  <si>
    <t>Nombre de critères conformes</t>
  </si>
  <si>
    <t>Nombre de critères non conformes</t>
  </si>
  <si>
    <t>Nombre de critères dérogés</t>
  </si>
  <si>
    <t>Nombre de critères non testés</t>
  </si>
  <si>
    <t>Date</t>
  </si>
  <si>
    <t>Spécificité</t>
  </si>
  <si>
    <t>Source technique</t>
  </si>
  <si>
    <t>Nombre de critères non applicable</t>
  </si>
  <si>
    <t>Version</t>
  </si>
  <si>
    <t>Pourcentage de conformité</t>
  </si>
  <si>
    <t>Pourcentage de non-conformité</t>
  </si>
  <si>
    <t>Correction</t>
  </si>
  <si>
    <t>Audit</t>
  </si>
  <si>
    <t>Audit V1</t>
  </si>
  <si>
    <t>Composant : SearchListField</t>
  </si>
  <si>
    <t>Non conforme</t>
  </si>
  <si>
    <t>Non applicable</t>
  </si>
  <si>
    <t>Le champ de recherche devrait avoir une aide à la saisie afin d'expliciter que ce champ sert à rechercher parmi les options de la liste nommée "XXX" (selon 11.6).</t>
  </si>
  <si>
    <t>Les cases à cocher devraient être dans un fieldset. Le role listbox n'est pas approprié ici (prévu pour une liste d'options exclusives comme des boutons radios, pas des cases à cocher multiples).</t>
  </si>
  <si>
    <r>
      <t xml:space="preserve">Chaque champ de formulaire (input type text "Rechercher" + chaque case à cocher) possède une étiquette.
</t>
    </r>
    <r>
      <rPr>
        <b/>
        <u/>
        <sz val="12"/>
        <color theme="1"/>
        <rFont val="Aptos Narrow (Corps)"/>
      </rPr>
      <t>Recommandations :</t>
    </r>
    <r>
      <rPr>
        <sz val="12"/>
        <color theme="1"/>
        <rFont val="Aptos Narrow"/>
        <scheme val="minor"/>
      </rPr>
      <t xml:space="preserve">
- L'input type text combine 3 implémentations =&gt; ne garder que celle du label for (label for, aria-label et aria-labelledby) car c'est redondant.</t>
    </r>
  </si>
  <si>
    <t>Conforme</t>
  </si>
  <si>
    <t>L'icône de décoration "search" possède bien un attribut aria-hidden="true"</t>
  </si>
  <si>
    <t>L'audit ne concerne pas les champs de formulaire =&gt; voir les audits SyTextfield et SyCheckbox</t>
  </si>
  <si>
    <t>Lorsque le champ de recherche est renseigné, il manque un message de statut (role="status") indiquant le nombre d'éléments désormais présent en correspondance avec la recherche. Par ailleurs, il manque également un message de statut (retranscrit au lecteur et visible à l'écran) indiquant que la liste n'a pas de resultat associé à la recherche.</t>
  </si>
  <si>
    <t>L'étiquette et le champ associé sont bien accolés sur les champs.
Concernant le champ input text, l'étiquette est placé au dessus lorsque le focus est pris sinon au centre. Cela fait parti des cas particuliers des critères 11.4.2 et 11.4.3 : "Dans le cas où les champs seraient utilisés dans un contexte où il pourrait être légitime, du point de vue de l’expérience utilisateur, de placer les étiquettes de manière différente à celle requise dans les tests 11.4.2 et 11.4.3."</t>
  </si>
  <si>
    <t>Le validateur W3C a remonté le problème suivant :
- The aria-checked attribute must not be used on an input element which has a type attribute whose value is checkbox.</t>
  </si>
  <si>
    <t>Ajouter un legend avec le fieldset (11.5). Aujourd'hui il existe un h2 "Liste des éléments" uniquement visible par les lecteurs d'écran, à remplacer par legend.</t>
  </si>
  <si>
    <t>L'étiquette "Rechercher" n'est pas suffisamment pertinente. Un exemple pertinent serait "Filtrer la liste des professions".</t>
  </si>
  <si>
    <t>Laissé non conforme car fieldset inexistant (11.5). Le titre existant "Liste des éléments" n'est pas suffisamment pertinent. Un exemple pertinent serait "Choisisser parmi la liste des professions".</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</si>
  <si>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</si>
  <si>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Le contenu visible porteur d'information reste présent lorsque les feuilles de styles sont désactivées.</t>
  </si>
  <si>
    <t>L'information reste compréhensible car chaque élément utilise un élément HTML approprié et l'ordre ne nuit pas à la compréhension du composant.</t>
  </si>
  <si>
    <t>Le texte reste lisible que ce soit en zoom 200% écran ou texte.</t>
  </si>
  <si>
    <t>1.0.10</t>
  </si>
  <si>
    <t>Testé avec Assistant RGAA :
body {
line-height: 1.5 !important;
letter-spacing: 0.12em !important;
 word-spacing: 0.16em !important;
}
p { margin-bottom: 2em !important; }</t>
  </si>
  <si>
    <t>En 320px, les contenus les plus long dans la liste de choix sont tronqués. Ils apparaissent alors avec des points de suspension sans qu'il existe un mécanisme visuel d'accès à la totalité du contenu. Cela poste problème notamment sur les petits écrans, les versions zoomés et les versions mobiles.
Pour y rémedier, il faudrait pouvoir, de préférence éviter ces points de suspension (retour à la ligne du contenu via CSS). L'autre solution est de mettre en place un mécanisme accessible pour réveler le texte tronquée (apparaissant au focus, icône activant une modale, etc.).</t>
  </si>
  <si>
    <t>L'ordre de tabulation des éléments est cohérent</t>
  </si>
  <si>
    <t>Il est possible d’atteindre l’élément suivant ou précédent pouvant recevoir le focus avec la touche de tabulation.</t>
  </si>
  <si>
    <t>L'input et les checkboxes sont contrôlables par le clavier et par tout dispositif de pointage.</t>
  </si>
  <si>
    <t>Des problématiques ont été remarquées au lecteur d'écran, mentionnées dans les critères 7.5 et 11.X</t>
  </si>
  <si>
    <t>Changement du label du champs dans les exemple dans la documentation pour etre plus explicite sur l'objet de champ.</t>
  </si>
  <si>
    <t>Ajout d'un fieldset</t>
  </si>
  <si>
    <t>Ajout d'un lengend dans le fieldset</t>
  </si>
  <si>
    <t>Ajout d'une props permettant de personnaliser la valeur de la legende et mise a jour des exemple de la documentation.</t>
  </si>
  <si>
    <t>Mise a jour des exemple de la documentation</t>
  </si>
  <si>
    <t>Remplacement du pattern de vuetify par des composants HTML natifs</t>
  </si>
  <si>
    <t>Ajout d'une zone de status avec les information actualisées sur l'état de la recharche</t>
  </si>
  <si>
    <t>voir critères corespondants</t>
  </si>
  <si>
    <t>Correction post audit V1 - (https://github.com/assurance-maladie-digital/design-system-v3/issues/909)</t>
  </si>
  <si>
    <t>1.0.14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</si>
</sst>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6">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b/>
      <u/>
      <sz val="12"/>
      <color theme="1"/>
      <name val="Aptos Narrow (Corps)"/>
    </font>
    <font>
      <sz val="12"/>
      <color theme="9" tint="-0.499984740745262"/>
      <name val="Aptos Narrow"/>
      <scheme val="minor"/>
    </font>
  </fonts>
  <fills count="7">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theme="6" tint="0.79998168889431442"/>
        <bgColor indexed="64"/>
      </patternFill>
    </fill>
  </fills>
  <borders count="12">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14" fontId="10" fillId="0" borderId="5" xfId="0" applyNumberFormat="1" applyFont="1" applyBorder="1"/>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3" fillId="0" borderId="5" xfId="0" quotePrefix="1" applyFont="1" applyBorder="1" applyAlignment="1">
      <alignment horizontal="left" vertical="top"/>
    </xf>
    <xf numFmtId="0" fontId="3" fillId="0" borderId="6" xfId="0" applyFont="1" applyBorder="1" applyAlignment="1">
      <alignment horizontal="left" vertical="top"/>
    </xf>
    <xf numFmtId="0" fontId="3" fillId="0" borderId="6" xfId="0" applyFont="1" applyBorder="1" applyAlignment="1">
      <alignment horizontal="left" vertical="top" wrapText="1"/>
    </xf>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0" fillId="0" borderId="5" xfId="0" applyFont="1" applyBorder="1" applyAlignment="1">
      <alignment horizontal="right"/>
    </xf>
    <xf numFmtId="9" fontId="13" fillId="0" borderId="5" xfId="0" applyNumberFormat="1" applyFont="1" applyBorder="1"/>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3" fillId="0" borderId="6" xfId="0" applyFont="1" applyBorder="1" applyAlignment="1">
      <alignment horizontal="left" vertical="top"/>
    </xf>
    <xf numFmtId="0" fontId="3" fillId="0" borderId="9" xfId="0" applyFont="1" applyBorder="1" applyAlignment="1">
      <alignment horizontal="left" vertical="top"/>
    </xf>
    <xf numFmtId="0" fontId="3" fillId="0" borderId="10" xfId="0" applyFont="1" applyBorder="1" applyAlignment="1">
      <alignment horizontal="left" vertical="top"/>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9" fillId="0" borderId="5" xfId="0" applyFont="1" applyBorder="1" applyAlignment="1">
      <alignment horizontal="left" vertical="top"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5" xfId="0" applyFont="1" applyBorder="1" applyAlignment="1">
      <alignment horizontal="left" vertical="center" wrapText="1"/>
    </xf>
    <xf numFmtId="0" fontId="15" fillId="6" borderId="5" xfId="0" applyFont="1" applyFill="1" applyBorder="1"/>
  </cellXfs>
  <cellStyles count="2">
    <cellStyle name="Normal" xfId="0" builtinId="0"/>
    <cellStyle name="Pourcentage" xfId="1" builtinId="5"/>
  </cellStyles>
  <dxfs count="12">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s>
  <tableStyles count="0" defaultTableStyle="TableStyleMedium2" defaultPivotStyle="PivotStyleLight16"/>
  <colors>
    <mruColors>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7"/>
  <sheetViews>
    <sheetView tabSelected="1" topLeftCell="D1" zoomScale="110" zoomScaleNormal="110" workbookViewId="0">
      <selection activeCell="E12" sqref="E12"/>
    </sheetView>
  </sheetViews>
  <sheetFormatPr baseColWidth="10" defaultColWidth="10.81640625" defaultRowHeight="15"/>
  <cols>
    <col min="1" max="1" width="15" style="1" customWidth="1"/>
    <col min="2" max="2" width="10.36328125" style="1" bestFit="1" customWidth="1"/>
    <col min="3" max="3" width="59.81640625" style="1" customWidth="1"/>
    <col min="4" max="4" width="15.1796875" style="1" bestFit="1" customWidth="1"/>
    <col min="5" max="5" width="115.1796875" style="1" customWidth="1"/>
    <col min="6" max="6" width="17.1796875" style="1" customWidth="1"/>
    <col min="7" max="16384" width="10.81640625" style="1"/>
  </cols>
  <sheetData>
    <row r="1" spans="1:6" ht="31.95" customHeight="1">
      <c r="A1" s="39" t="s">
        <v>244</v>
      </c>
      <c r="B1" s="39"/>
      <c r="C1" s="39"/>
      <c r="D1" s="39"/>
    </row>
    <row r="2" spans="1:6" ht="17.399999999999999">
      <c r="A2" s="43" t="s">
        <v>242</v>
      </c>
      <c r="B2" s="43"/>
      <c r="C2" s="43"/>
      <c r="D2" s="20" t="s">
        <v>243</v>
      </c>
      <c r="E2" s="20" t="s">
        <v>278</v>
      </c>
    </row>
    <row r="3" spans="1:6" ht="17.399999999999999">
      <c r="A3" s="37" t="s">
        <v>234</v>
      </c>
      <c r="B3" s="37"/>
      <c r="C3" s="37"/>
      <c r="D3" s="8">
        <v>45943</v>
      </c>
      <c r="E3" s="8">
        <v>45986</v>
      </c>
    </row>
    <row r="4" spans="1:6" ht="17.399999999999999">
      <c r="A4" s="40" t="s">
        <v>238</v>
      </c>
      <c r="B4" s="41"/>
      <c r="C4" s="42"/>
      <c r="D4" s="13" t="s">
        <v>263</v>
      </c>
      <c r="E4" s="21" t="s">
        <v>279</v>
      </c>
    </row>
    <row r="5" spans="1:6" ht="16.05" customHeight="1">
      <c r="A5" s="37" t="s">
        <v>230</v>
      </c>
      <c r="B5" s="37"/>
      <c r="C5" s="37"/>
      <c r="D5" s="9">
        <f xml:space="preserve"> COUNTIF($D$14:$D$119,"Conforme")</f>
        <v>11</v>
      </c>
      <c r="E5" s="9">
        <v>20</v>
      </c>
    </row>
    <row r="6" spans="1:6" ht="17.399999999999999">
      <c r="A6" s="37" t="s">
        <v>231</v>
      </c>
      <c r="B6" s="37"/>
      <c r="C6" s="37"/>
      <c r="D6" s="9">
        <f xml:space="preserve"> COUNTIF($D$14:$D$119,"Non conforme")</f>
        <v>9</v>
      </c>
      <c r="E6" s="9">
        <v>0</v>
      </c>
    </row>
    <row r="7" spans="1:6" ht="17.399999999999999">
      <c r="A7" s="37" t="s">
        <v>237</v>
      </c>
      <c r="B7" s="37"/>
      <c r="C7" s="37"/>
      <c r="D7" s="9">
        <f xml:space="preserve"> COUNTIF($D$14:$D$119,"Non applicable")</f>
        <v>86</v>
      </c>
      <c r="E7" s="9">
        <v>86</v>
      </c>
    </row>
    <row r="8" spans="1:6" ht="17.399999999999999">
      <c r="A8" s="37" t="s">
        <v>232</v>
      </c>
      <c r="B8" s="37"/>
      <c r="C8" s="37"/>
      <c r="D8" s="9">
        <f xml:space="preserve"> COUNTIF($D$14:$D$119,"Dérogé")</f>
        <v>0</v>
      </c>
      <c r="E8" s="9">
        <v>0</v>
      </c>
    </row>
    <row r="9" spans="1:6" ht="17.399999999999999">
      <c r="A9" s="37" t="s">
        <v>233</v>
      </c>
      <c r="B9" s="37"/>
      <c r="C9" s="37"/>
      <c r="D9" s="9">
        <f xml:space="preserve"> COUNTIF($D$14:$D$119,"Non testé")</f>
        <v>0</v>
      </c>
      <c r="E9" s="9">
        <v>0</v>
      </c>
    </row>
    <row r="10" spans="1:6" ht="19.05" customHeight="1">
      <c r="A10" s="26" t="s">
        <v>239</v>
      </c>
      <c r="B10" s="27"/>
      <c r="C10" s="28"/>
      <c r="D10" s="14">
        <f>IF(SUM(D5:D6)&gt;0,D5/SUM(D5:D6),"")</f>
        <v>0.55000000000000004</v>
      </c>
      <c r="E10" s="22">
        <v>1</v>
      </c>
    </row>
    <row r="11" spans="1:6" ht="19.05" customHeight="1">
      <c r="A11" s="26" t="s">
        <v>240</v>
      </c>
      <c r="B11" s="27"/>
      <c r="C11" s="28"/>
      <c r="D11" s="14">
        <f>IF(SUM(D5:D6)&gt;0,1-ROUND(D10,2),"")</f>
        <v>0.44999999999999996</v>
      </c>
      <c r="E11" s="22">
        <v>0</v>
      </c>
    </row>
    <row r="12" spans="1:6">
      <c r="A12" s="7"/>
      <c r="B12" s="7"/>
      <c r="C12" s="7"/>
    </row>
    <row r="13" spans="1:6" ht="17.399999999999999">
      <c r="A13" s="4" t="s">
        <v>0</v>
      </c>
      <c r="B13" s="4" t="s">
        <v>229</v>
      </c>
      <c r="C13" s="4" t="s">
        <v>1</v>
      </c>
      <c r="D13" s="4" t="s">
        <v>227</v>
      </c>
      <c r="E13" s="6" t="s">
        <v>228</v>
      </c>
      <c r="F13" s="18" t="s">
        <v>241</v>
      </c>
    </row>
    <row r="14" spans="1:6" ht="17.399999999999999">
      <c r="A14" s="38" t="s">
        <v>2</v>
      </c>
      <c r="B14" s="2" t="s">
        <v>3</v>
      </c>
      <c r="C14" s="3" t="s">
        <v>4</v>
      </c>
      <c r="D14" s="5" t="s">
        <v>246</v>
      </c>
      <c r="E14" s="11"/>
      <c r="F14" s="19"/>
    </row>
    <row r="15" spans="1:6" ht="30">
      <c r="A15" s="24"/>
      <c r="B15" s="2" t="s">
        <v>5</v>
      </c>
      <c r="C15" s="3" t="s">
        <v>6</v>
      </c>
      <c r="D15" s="5" t="s">
        <v>250</v>
      </c>
      <c r="E15" s="12" t="s">
        <v>251</v>
      </c>
      <c r="F15" s="19"/>
    </row>
    <row r="16" spans="1:6" ht="30">
      <c r="A16" s="24"/>
      <c r="B16" s="2" t="s">
        <v>7</v>
      </c>
      <c r="C16" s="3" t="s">
        <v>8</v>
      </c>
      <c r="D16" s="5" t="s">
        <v>246</v>
      </c>
      <c r="E16" s="11"/>
      <c r="F16" s="19"/>
    </row>
    <row r="17" spans="1:6" ht="45">
      <c r="A17" s="24"/>
      <c r="B17" s="2" t="s">
        <v>9</v>
      </c>
      <c r="C17" s="3" t="s">
        <v>10</v>
      </c>
      <c r="D17" s="5" t="s">
        <v>246</v>
      </c>
      <c r="E17" s="11"/>
      <c r="F17" s="19"/>
    </row>
    <row r="18" spans="1:6" ht="30">
      <c r="A18" s="24"/>
      <c r="B18" s="2" t="s">
        <v>11</v>
      </c>
      <c r="C18" s="3" t="s">
        <v>12</v>
      </c>
      <c r="D18" s="5" t="s">
        <v>246</v>
      </c>
      <c r="E18" s="11"/>
      <c r="F18" s="19"/>
    </row>
    <row r="19" spans="1:6" ht="30">
      <c r="A19" s="24"/>
      <c r="B19" s="2" t="s">
        <v>13</v>
      </c>
      <c r="C19" s="3" t="s">
        <v>14</v>
      </c>
      <c r="D19" s="5" t="s">
        <v>246</v>
      </c>
      <c r="E19" s="11"/>
      <c r="F19" s="19"/>
    </row>
    <row r="20" spans="1:6" ht="30">
      <c r="A20" s="24"/>
      <c r="B20" s="2" t="s">
        <v>15</v>
      </c>
      <c r="C20" s="3" t="s">
        <v>16</v>
      </c>
      <c r="D20" s="5" t="s">
        <v>246</v>
      </c>
      <c r="E20" s="11"/>
      <c r="F20" s="19"/>
    </row>
    <row r="21" spans="1:6" ht="45">
      <c r="A21" s="24"/>
      <c r="B21" s="2" t="s">
        <v>17</v>
      </c>
      <c r="C21" s="3" t="s">
        <v>18</v>
      </c>
      <c r="D21" s="5" t="s">
        <v>246</v>
      </c>
      <c r="E21" s="11"/>
      <c r="F21" s="19"/>
    </row>
    <row r="22" spans="1:6" ht="30">
      <c r="A22" s="25"/>
      <c r="B22" s="2" t="s">
        <v>19</v>
      </c>
      <c r="C22" s="3" t="s">
        <v>20</v>
      </c>
      <c r="D22" s="5" t="s">
        <v>246</v>
      </c>
      <c r="E22" s="11"/>
      <c r="F22" s="19"/>
    </row>
    <row r="23" spans="1:6" ht="17.399999999999999">
      <c r="A23" s="23" t="s">
        <v>21</v>
      </c>
      <c r="B23" s="2" t="s">
        <v>22</v>
      </c>
      <c r="C23" s="3" t="s">
        <v>23</v>
      </c>
      <c r="D23" s="5" t="s">
        <v>246</v>
      </c>
      <c r="E23" s="11"/>
      <c r="F23" s="19"/>
    </row>
    <row r="24" spans="1:6" ht="30">
      <c r="A24" s="25"/>
      <c r="B24" s="2" t="s">
        <v>24</v>
      </c>
      <c r="C24" s="3" t="s">
        <v>25</v>
      </c>
      <c r="D24" s="5" t="s">
        <v>246</v>
      </c>
      <c r="E24" s="11"/>
      <c r="F24" s="19"/>
    </row>
    <row r="25" spans="1:6" ht="30">
      <c r="A25" s="23" t="s">
        <v>26</v>
      </c>
      <c r="B25" s="2" t="s">
        <v>27</v>
      </c>
      <c r="C25" s="3" t="s">
        <v>28</v>
      </c>
      <c r="D25" s="5" t="s">
        <v>246</v>
      </c>
      <c r="E25" s="11"/>
      <c r="F25" s="19"/>
    </row>
    <row r="26" spans="1:6" ht="45">
      <c r="A26" s="24"/>
      <c r="B26" s="2" t="s">
        <v>29</v>
      </c>
      <c r="C26" s="3" t="s">
        <v>30</v>
      </c>
      <c r="D26" s="5" t="s">
        <v>246</v>
      </c>
      <c r="E26" s="11" t="s">
        <v>252</v>
      </c>
      <c r="F26" s="19"/>
    </row>
    <row r="27" spans="1:6" ht="45">
      <c r="A27" s="25"/>
      <c r="B27" s="2" t="s">
        <v>31</v>
      </c>
      <c r="C27" s="3" t="s">
        <v>32</v>
      </c>
      <c r="D27" s="5" t="s">
        <v>246</v>
      </c>
      <c r="E27" s="11" t="s">
        <v>252</v>
      </c>
      <c r="F27" s="19"/>
    </row>
    <row r="28" spans="1:6" ht="30">
      <c r="A28" s="23" t="s">
        <v>33</v>
      </c>
      <c r="B28" s="2" t="s">
        <v>34</v>
      </c>
      <c r="C28" s="3" t="s">
        <v>35</v>
      </c>
      <c r="D28" s="5" t="s">
        <v>246</v>
      </c>
      <c r="E28" s="11"/>
      <c r="F28" s="19"/>
    </row>
    <row r="29" spans="1:6" ht="45">
      <c r="A29" s="24"/>
      <c r="B29" s="2" t="s">
        <v>36</v>
      </c>
      <c r="C29" s="3" t="s">
        <v>37</v>
      </c>
      <c r="D29" s="5" t="s">
        <v>246</v>
      </c>
      <c r="E29" s="11"/>
      <c r="F29" s="19"/>
    </row>
    <row r="30" spans="1:6" ht="30">
      <c r="A30" s="24"/>
      <c r="B30" s="2" t="s">
        <v>38</v>
      </c>
      <c r="C30" s="3" t="s">
        <v>39</v>
      </c>
      <c r="D30" s="5" t="s">
        <v>246</v>
      </c>
      <c r="E30" s="11"/>
      <c r="F30" s="19"/>
    </row>
    <row r="31" spans="1:6" ht="30">
      <c r="A31" s="24"/>
      <c r="B31" s="2" t="s">
        <v>40</v>
      </c>
      <c r="C31" s="3" t="s">
        <v>41</v>
      </c>
      <c r="D31" s="5" t="s">
        <v>246</v>
      </c>
      <c r="E31" s="11"/>
      <c r="F31" s="19"/>
    </row>
    <row r="32" spans="1:6" ht="30">
      <c r="A32" s="24"/>
      <c r="B32" s="2" t="s">
        <v>42</v>
      </c>
      <c r="C32" s="3" t="s">
        <v>43</v>
      </c>
      <c r="D32" s="5" t="s">
        <v>246</v>
      </c>
      <c r="E32" s="11"/>
      <c r="F32" s="19"/>
    </row>
    <row r="33" spans="1:6" ht="30">
      <c r="A33" s="24"/>
      <c r="B33" s="2" t="s">
        <v>44</v>
      </c>
      <c r="C33" s="3" t="s">
        <v>45</v>
      </c>
      <c r="D33" s="5" t="s">
        <v>246</v>
      </c>
      <c r="E33" s="11"/>
      <c r="F33" s="19"/>
    </row>
    <row r="34" spans="1:6" ht="30">
      <c r="A34" s="24"/>
      <c r="B34" s="2" t="s">
        <v>46</v>
      </c>
      <c r="C34" s="3" t="s">
        <v>47</v>
      </c>
      <c r="D34" s="5" t="s">
        <v>246</v>
      </c>
      <c r="E34" s="11"/>
      <c r="F34" s="19"/>
    </row>
    <row r="35" spans="1:6" ht="30">
      <c r="A35" s="24"/>
      <c r="B35" s="2" t="s">
        <v>48</v>
      </c>
      <c r="C35" s="3" t="s">
        <v>49</v>
      </c>
      <c r="D35" s="5" t="s">
        <v>246</v>
      </c>
      <c r="E35" s="11"/>
      <c r="F35" s="19"/>
    </row>
    <row r="36" spans="1:6" ht="30">
      <c r="A36" s="24"/>
      <c r="B36" s="2" t="s">
        <v>50</v>
      </c>
      <c r="C36" s="3" t="s">
        <v>51</v>
      </c>
      <c r="D36" s="5" t="s">
        <v>246</v>
      </c>
      <c r="E36" s="11"/>
      <c r="F36" s="19"/>
    </row>
    <row r="37" spans="1:6" ht="30">
      <c r="A37" s="24"/>
      <c r="B37" s="2" t="s">
        <v>52</v>
      </c>
      <c r="C37" s="3" t="s">
        <v>53</v>
      </c>
      <c r="D37" s="5" t="s">
        <v>246</v>
      </c>
      <c r="E37" s="11"/>
      <c r="F37" s="19"/>
    </row>
    <row r="38" spans="1:6" ht="30">
      <c r="A38" s="24"/>
      <c r="B38" s="2" t="s">
        <v>54</v>
      </c>
      <c r="C38" s="3" t="s">
        <v>55</v>
      </c>
      <c r="D38" s="5" t="s">
        <v>246</v>
      </c>
      <c r="E38" s="11"/>
      <c r="F38" s="19"/>
    </row>
    <row r="39" spans="1:6" ht="30">
      <c r="A39" s="24"/>
      <c r="B39" s="2" t="s">
        <v>56</v>
      </c>
      <c r="C39" s="3" t="s">
        <v>57</v>
      </c>
      <c r="D39" s="5" t="s">
        <v>246</v>
      </c>
      <c r="E39" s="11"/>
      <c r="F39" s="19"/>
    </row>
    <row r="40" spans="1:6" ht="30">
      <c r="A40" s="25"/>
      <c r="B40" s="2" t="s">
        <v>58</v>
      </c>
      <c r="C40" s="3" t="s">
        <v>59</v>
      </c>
      <c r="D40" s="5" t="s">
        <v>246</v>
      </c>
      <c r="E40" s="11"/>
      <c r="F40" s="19"/>
    </row>
    <row r="41" spans="1:6" ht="17.399999999999999">
      <c r="A41" s="23" t="s">
        <v>60</v>
      </c>
      <c r="B41" s="2" t="s">
        <v>61</v>
      </c>
      <c r="C41" s="3" t="s">
        <v>62</v>
      </c>
      <c r="D41" s="5" t="s">
        <v>246</v>
      </c>
      <c r="E41" s="11"/>
      <c r="F41" s="19"/>
    </row>
    <row r="42" spans="1:6" ht="30">
      <c r="A42" s="24"/>
      <c r="B42" s="2" t="s">
        <v>63</v>
      </c>
      <c r="C42" s="3" t="s">
        <v>64</v>
      </c>
      <c r="D42" s="5" t="s">
        <v>246</v>
      </c>
      <c r="E42" s="11"/>
      <c r="F42" s="19"/>
    </row>
    <row r="43" spans="1:6" ht="30">
      <c r="A43" s="24"/>
      <c r="B43" s="2" t="s">
        <v>65</v>
      </c>
      <c r="C43" s="3" t="s">
        <v>66</v>
      </c>
      <c r="D43" s="5" t="s">
        <v>246</v>
      </c>
      <c r="E43" s="11"/>
      <c r="F43" s="19"/>
    </row>
    <row r="44" spans="1:6" ht="30">
      <c r="A44" s="24"/>
      <c r="B44" s="2" t="s">
        <v>67</v>
      </c>
      <c r="C44" s="3" t="s">
        <v>68</v>
      </c>
      <c r="D44" s="5" t="s">
        <v>246</v>
      </c>
      <c r="E44" s="11"/>
      <c r="F44" s="19"/>
    </row>
    <row r="45" spans="1:6" ht="17.399999999999999">
      <c r="A45" s="24"/>
      <c r="B45" s="2" t="s">
        <v>69</v>
      </c>
      <c r="C45" s="3" t="s">
        <v>70</v>
      </c>
      <c r="D45" s="5" t="s">
        <v>246</v>
      </c>
      <c r="E45" s="11"/>
      <c r="F45" s="19"/>
    </row>
    <row r="46" spans="1:6" ht="30">
      <c r="A46" s="24"/>
      <c r="B46" s="2" t="s">
        <v>71</v>
      </c>
      <c r="C46" s="3" t="s">
        <v>72</v>
      </c>
      <c r="D46" s="5" t="s">
        <v>246</v>
      </c>
      <c r="E46" s="11"/>
      <c r="F46" s="19"/>
    </row>
    <row r="47" spans="1:6" ht="45">
      <c r="A47" s="24"/>
      <c r="B47" s="2" t="s">
        <v>73</v>
      </c>
      <c r="C47" s="3" t="s">
        <v>74</v>
      </c>
      <c r="D47" s="5" t="s">
        <v>246</v>
      </c>
      <c r="E47" s="11"/>
      <c r="F47" s="19"/>
    </row>
    <row r="48" spans="1:6" ht="30">
      <c r="A48" s="25"/>
      <c r="B48" s="2" t="s">
        <v>75</v>
      </c>
      <c r="C48" s="3" t="s">
        <v>76</v>
      </c>
      <c r="D48" s="5" t="s">
        <v>246</v>
      </c>
      <c r="E48" s="11"/>
      <c r="F48" s="19"/>
    </row>
    <row r="49" spans="1:6" ht="17.399999999999999">
      <c r="A49" s="23" t="s">
        <v>77</v>
      </c>
      <c r="B49" s="2" t="s">
        <v>78</v>
      </c>
      <c r="C49" s="3" t="s">
        <v>79</v>
      </c>
      <c r="D49" s="5" t="s">
        <v>246</v>
      </c>
      <c r="E49" s="11"/>
      <c r="F49" s="19"/>
    </row>
    <row r="50" spans="1:6" ht="17.399999999999999">
      <c r="A50" s="25"/>
      <c r="B50" s="2" t="s">
        <v>80</v>
      </c>
      <c r="C50" s="3" t="s">
        <v>81</v>
      </c>
      <c r="D50" s="5" t="s">
        <v>246</v>
      </c>
      <c r="E50" s="11"/>
      <c r="F50" s="19"/>
    </row>
    <row r="51" spans="1:6" ht="30">
      <c r="A51" s="23" t="s">
        <v>82</v>
      </c>
      <c r="B51" s="2" t="s">
        <v>83</v>
      </c>
      <c r="C51" s="3" t="s">
        <v>84</v>
      </c>
      <c r="D51" s="5" t="s">
        <v>245</v>
      </c>
      <c r="E51" s="11" t="s">
        <v>269</v>
      </c>
      <c r="F51" s="44" t="s">
        <v>277</v>
      </c>
    </row>
    <row r="52" spans="1:6" ht="30">
      <c r="A52" s="24"/>
      <c r="B52" s="2" t="s">
        <v>85</v>
      </c>
      <c r="C52" s="3" t="s">
        <v>86</v>
      </c>
      <c r="D52" s="5" t="s">
        <v>246</v>
      </c>
      <c r="E52" s="11"/>
      <c r="F52" s="19"/>
    </row>
    <row r="53" spans="1:6" ht="30">
      <c r="A53" s="24"/>
      <c r="B53" s="2" t="s">
        <v>87</v>
      </c>
      <c r="C53" s="3" t="s">
        <v>88</v>
      </c>
      <c r="D53" s="5" t="s">
        <v>250</v>
      </c>
      <c r="E53" s="11" t="s">
        <v>268</v>
      </c>
      <c r="F53" s="19"/>
    </row>
    <row r="54" spans="1:6" ht="30">
      <c r="A54" s="24"/>
      <c r="B54" s="2" t="s">
        <v>89</v>
      </c>
      <c r="C54" s="3" t="s">
        <v>90</v>
      </c>
      <c r="D54" s="5" t="s">
        <v>246</v>
      </c>
      <c r="E54" s="11"/>
      <c r="F54" s="19"/>
    </row>
    <row r="55" spans="1:6" ht="45">
      <c r="A55" s="25"/>
      <c r="B55" s="2" t="s">
        <v>91</v>
      </c>
      <c r="C55" s="3" t="s">
        <v>92</v>
      </c>
      <c r="D55" s="5" t="s">
        <v>245</v>
      </c>
      <c r="E55" s="11" t="s">
        <v>253</v>
      </c>
      <c r="F55" s="44" t="s">
        <v>276</v>
      </c>
    </row>
    <row r="56" spans="1:6" ht="17.399999999999999">
      <c r="A56" s="23" t="s">
        <v>93</v>
      </c>
      <c r="B56" s="2" t="s">
        <v>94</v>
      </c>
      <c r="C56" s="3" t="s">
        <v>95</v>
      </c>
      <c r="D56" s="5" t="s">
        <v>246</v>
      </c>
      <c r="E56" s="11"/>
      <c r="F56" s="19"/>
    </row>
    <row r="57" spans="1:6" ht="30">
      <c r="A57" s="24"/>
      <c r="B57" s="2" t="s">
        <v>96</v>
      </c>
      <c r="C57" s="3" t="s">
        <v>97</v>
      </c>
      <c r="D57" s="5" t="s">
        <v>245</v>
      </c>
      <c r="E57" s="11" t="s">
        <v>255</v>
      </c>
      <c r="F57" s="44" t="s">
        <v>275</v>
      </c>
    </row>
    <row r="58" spans="1:6" ht="17.399999999999999">
      <c r="A58" s="24"/>
      <c r="B58" s="2" t="s">
        <v>98</v>
      </c>
      <c r="C58" s="3" t="s">
        <v>99</v>
      </c>
      <c r="D58" s="5" t="s">
        <v>246</v>
      </c>
      <c r="E58" s="11"/>
      <c r="F58" s="19"/>
    </row>
    <row r="59" spans="1:6" ht="30">
      <c r="A59" s="24"/>
      <c r="B59" s="2" t="s">
        <v>100</v>
      </c>
      <c r="C59" s="3" t="s">
        <v>101</v>
      </c>
      <c r="D59" s="5" t="s">
        <v>246</v>
      </c>
      <c r="E59" s="11"/>
      <c r="F59" s="19"/>
    </row>
    <row r="60" spans="1:6" ht="17.399999999999999">
      <c r="A60" s="24"/>
      <c r="B60" s="2" t="s">
        <v>102</v>
      </c>
      <c r="C60" s="3" t="s">
        <v>103</v>
      </c>
      <c r="D60" s="5" t="s">
        <v>246</v>
      </c>
      <c r="E60" s="11"/>
      <c r="F60" s="19"/>
    </row>
    <row r="61" spans="1:6" ht="17.399999999999999">
      <c r="A61" s="24"/>
      <c r="B61" s="2" t="s">
        <v>104</v>
      </c>
      <c r="C61" s="3" t="s">
        <v>105</v>
      </c>
      <c r="D61" s="5" t="s">
        <v>246</v>
      </c>
      <c r="E61" s="11"/>
      <c r="F61" s="19"/>
    </row>
    <row r="62" spans="1:6" ht="30">
      <c r="A62" s="24"/>
      <c r="B62" s="2" t="s">
        <v>106</v>
      </c>
      <c r="C62" s="3" t="s">
        <v>107</v>
      </c>
      <c r="D62" s="5" t="s">
        <v>246</v>
      </c>
      <c r="E62" s="11"/>
      <c r="F62" s="19"/>
    </row>
    <row r="63" spans="1:6" ht="30">
      <c r="A63" s="24"/>
      <c r="B63" s="2" t="s">
        <v>108</v>
      </c>
      <c r="C63" s="3" t="s">
        <v>109</v>
      </c>
      <c r="D63" s="5" t="s">
        <v>246</v>
      </c>
      <c r="E63" s="11"/>
      <c r="F63" s="19"/>
    </row>
    <row r="64" spans="1:6" ht="30">
      <c r="A64" s="24"/>
      <c r="B64" s="2" t="s">
        <v>110</v>
      </c>
      <c r="C64" s="3" t="s">
        <v>111</v>
      </c>
      <c r="D64" s="5" t="s">
        <v>246</v>
      </c>
      <c r="E64" s="11"/>
      <c r="F64" s="19"/>
    </row>
    <row r="65" spans="1:6" ht="30">
      <c r="A65" s="25"/>
      <c r="B65" s="2" t="s">
        <v>112</v>
      </c>
      <c r="C65" s="3" t="s">
        <v>113</v>
      </c>
      <c r="D65" s="5" t="s">
        <v>246</v>
      </c>
      <c r="E65" s="11"/>
      <c r="F65" s="19"/>
    </row>
    <row r="66" spans="1:6" ht="30">
      <c r="A66" s="23" t="s">
        <v>114</v>
      </c>
      <c r="B66" s="2" t="s">
        <v>115</v>
      </c>
      <c r="C66" s="3" t="s">
        <v>116</v>
      </c>
      <c r="D66" s="5" t="s">
        <v>246</v>
      </c>
      <c r="E66" s="11"/>
      <c r="F66" s="19"/>
    </row>
    <row r="67" spans="1:6" ht="30">
      <c r="A67" s="24"/>
      <c r="B67" s="2" t="s">
        <v>117</v>
      </c>
      <c r="C67" s="3" t="s">
        <v>118</v>
      </c>
      <c r="D67" s="5" t="s">
        <v>246</v>
      </c>
      <c r="E67" s="11"/>
      <c r="F67" s="19"/>
    </row>
    <row r="68" spans="1:6" ht="17.399999999999999">
      <c r="A68" s="24"/>
      <c r="B68" s="2" t="s">
        <v>119</v>
      </c>
      <c r="C68" s="3" t="s">
        <v>120</v>
      </c>
      <c r="D68" s="5" t="s">
        <v>246</v>
      </c>
      <c r="E68" s="11"/>
      <c r="F68" s="19"/>
    </row>
    <row r="69" spans="1:6" ht="17.399999999999999">
      <c r="A69" s="25"/>
      <c r="B69" s="2" t="s">
        <v>121</v>
      </c>
      <c r="C69" s="3" t="s">
        <v>122</v>
      </c>
      <c r="D69" s="5" t="s">
        <v>246</v>
      </c>
      <c r="E69" s="11"/>
      <c r="F69" s="19"/>
    </row>
    <row r="70" spans="1:6" ht="45">
      <c r="A70" s="23" t="s">
        <v>123</v>
      </c>
      <c r="B70" s="2" t="s">
        <v>124</v>
      </c>
      <c r="C70" s="3" t="s">
        <v>125</v>
      </c>
      <c r="D70" s="5" t="s">
        <v>250</v>
      </c>
      <c r="E70" s="17" t="s">
        <v>259</v>
      </c>
      <c r="F70" s="19"/>
    </row>
    <row r="71" spans="1:6" ht="30">
      <c r="A71" s="24"/>
      <c r="B71" s="2" t="s">
        <v>126</v>
      </c>
      <c r="C71" s="3" t="s">
        <v>127</v>
      </c>
      <c r="D71" s="5" t="s">
        <v>250</v>
      </c>
      <c r="E71" s="16" t="s">
        <v>260</v>
      </c>
      <c r="F71" s="19"/>
    </row>
    <row r="72" spans="1:6" ht="30">
      <c r="A72" s="24"/>
      <c r="B72" s="2" t="s">
        <v>128</v>
      </c>
      <c r="C72" s="3" t="s">
        <v>129</v>
      </c>
      <c r="D72" s="5" t="s">
        <v>250</v>
      </c>
      <c r="E72" s="17" t="s">
        <v>261</v>
      </c>
      <c r="F72" s="19"/>
    </row>
    <row r="73" spans="1:6" ht="45">
      <c r="A73" s="24"/>
      <c r="B73" s="2" t="s">
        <v>130</v>
      </c>
      <c r="C73" s="3" t="s">
        <v>131</v>
      </c>
      <c r="D73" s="5" t="s">
        <v>250</v>
      </c>
      <c r="E73" s="16" t="s">
        <v>262</v>
      </c>
      <c r="F73" s="19"/>
    </row>
    <row r="74" spans="1:6" ht="30">
      <c r="A74" s="24"/>
      <c r="B74" s="2" t="s">
        <v>132</v>
      </c>
      <c r="C74" s="3" t="s">
        <v>133</v>
      </c>
      <c r="D74" s="5" t="s">
        <v>246</v>
      </c>
      <c r="E74" s="11"/>
      <c r="F74" s="19"/>
    </row>
    <row r="75" spans="1:6" ht="30">
      <c r="A75" s="24"/>
      <c r="B75" s="2" t="s">
        <v>134</v>
      </c>
      <c r="C75" s="3" t="s">
        <v>135</v>
      </c>
      <c r="D75" s="5" t="s">
        <v>246</v>
      </c>
      <c r="E75" s="11"/>
      <c r="F75" s="19"/>
    </row>
    <row r="76" spans="1:6" ht="30">
      <c r="A76" s="24"/>
      <c r="B76" s="2" t="s">
        <v>136</v>
      </c>
      <c r="C76" s="3" t="s">
        <v>137</v>
      </c>
      <c r="D76" s="5" t="s">
        <v>246</v>
      </c>
      <c r="E76" s="11" t="s">
        <v>252</v>
      </c>
      <c r="F76" s="19"/>
    </row>
    <row r="77" spans="1:6" ht="30">
      <c r="A77" s="24"/>
      <c r="B77" s="2" t="s">
        <v>138</v>
      </c>
      <c r="C77" s="3" t="s">
        <v>139</v>
      </c>
      <c r="D77" s="5" t="s">
        <v>246</v>
      </c>
      <c r="E77" s="11"/>
      <c r="F77" s="19"/>
    </row>
    <row r="78" spans="1:6" ht="45">
      <c r="A78" s="24"/>
      <c r="B78" s="2" t="s">
        <v>140</v>
      </c>
      <c r="C78" s="3" t="s">
        <v>141</v>
      </c>
      <c r="D78" s="5" t="s">
        <v>246</v>
      </c>
      <c r="E78" s="11"/>
      <c r="F78" s="19"/>
    </row>
    <row r="79" spans="1:6" ht="45">
      <c r="A79" s="24"/>
      <c r="B79" s="2" t="s">
        <v>142</v>
      </c>
      <c r="C79" s="3" t="s">
        <v>143</v>
      </c>
      <c r="D79" s="5" t="s">
        <v>246</v>
      </c>
      <c r="E79" s="11"/>
      <c r="F79" s="19"/>
    </row>
    <row r="80" spans="1:6" ht="90">
      <c r="A80" s="24"/>
      <c r="B80" s="2" t="s">
        <v>144</v>
      </c>
      <c r="C80" s="3" t="s">
        <v>145</v>
      </c>
      <c r="D80" s="5" t="s">
        <v>245</v>
      </c>
      <c r="E80" s="17" t="s">
        <v>265</v>
      </c>
      <c r="F80" s="44" t="s">
        <v>275</v>
      </c>
    </row>
    <row r="81" spans="1:6" ht="105">
      <c r="A81" s="24"/>
      <c r="B81" s="2" t="s">
        <v>146</v>
      </c>
      <c r="C81" s="3" t="s">
        <v>147</v>
      </c>
      <c r="D81" s="5" t="s">
        <v>250</v>
      </c>
      <c r="E81" s="17" t="s">
        <v>264</v>
      </c>
      <c r="F81" s="19"/>
    </row>
    <row r="82" spans="1:6" ht="45">
      <c r="A82" s="24"/>
      <c r="B82" s="2" t="s">
        <v>148</v>
      </c>
      <c r="C82" s="3" t="s">
        <v>149</v>
      </c>
      <c r="D82" s="5" t="s">
        <v>246</v>
      </c>
      <c r="E82" s="11"/>
      <c r="F82" s="19"/>
    </row>
    <row r="83" spans="1:6" ht="45">
      <c r="A83" s="25"/>
      <c r="B83" s="2" t="s">
        <v>150</v>
      </c>
      <c r="C83" s="3" t="s">
        <v>151</v>
      </c>
      <c r="D83" s="5" t="s">
        <v>246</v>
      </c>
      <c r="E83" s="11"/>
      <c r="F83" s="19"/>
    </row>
    <row r="84" spans="1:6" ht="60.6">
      <c r="A84" s="23" t="s">
        <v>152</v>
      </c>
      <c r="B84" s="2" t="s">
        <v>153</v>
      </c>
      <c r="C84" s="3" t="s">
        <v>154</v>
      </c>
      <c r="D84" s="5" t="s">
        <v>250</v>
      </c>
      <c r="E84" s="11" t="s">
        <v>249</v>
      </c>
      <c r="F84" s="19"/>
    </row>
    <row r="85" spans="1:6" ht="30">
      <c r="A85" s="24"/>
      <c r="B85" s="2" t="s">
        <v>155</v>
      </c>
      <c r="C85" s="3" t="s">
        <v>156</v>
      </c>
      <c r="D85" s="5" t="s">
        <v>245</v>
      </c>
      <c r="E85" s="11" t="s">
        <v>257</v>
      </c>
      <c r="F85" s="44" t="s">
        <v>274</v>
      </c>
    </row>
    <row r="86" spans="1:6" ht="45">
      <c r="A86" s="24"/>
      <c r="B86" s="2" t="s">
        <v>157</v>
      </c>
      <c r="C86" s="3" t="s">
        <v>158</v>
      </c>
      <c r="D86" s="5" t="s">
        <v>246</v>
      </c>
      <c r="E86" s="11"/>
      <c r="F86" s="19"/>
    </row>
    <row r="87" spans="1:6" ht="60">
      <c r="A87" s="24"/>
      <c r="B87" s="2" t="s">
        <v>159</v>
      </c>
      <c r="C87" s="3" t="s">
        <v>160</v>
      </c>
      <c r="D87" s="5" t="s">
        <v>250</v>
      </c>
      <c r="E87" s="11" t="s">
        <v>254</v>
      </c>
      <c r="F87" s="19"/>
    </row>
    <row r="88" spans="1:6" ht="30">
      <c r="A88" s="24"/>
      <c r="B88" s="2" t="s">
        <v>161</v>
      </c>
      <c r="C88" s="3" t="s">
        <v>162</v>
      </c>
      <c r="D88" s="5" t="s">
        <v>245</v>
      </c>
      <c r="E88" s="11" t="s">
        <v>248</v>
      </c>
      <c r="F88" s="44" t="s">
        <v>271</v>
      </c>
    </row>
    <row r="89" spans="1:6" ht="30">
      <c r="A89" s="24"/>
      <c r="B89" s="2" t="s">
        <v>163</v>
      </c>
      <c r="C89" s="3" t="s">
        <v>164</v>
      </c>
      <c r="D89" s="5" t="s">
        <v>245</v>
      </c>
      <c r="E89" s="11" t="s">
        <v>256</v>
      </c>
      <c r="F89" s="44" t="s">
        <v>272</v>
      </c>
    </row>
    <row r="90" spans="1:6" ht="30">
      <c r="A90" s="24"/>
      <c r="B90" s="2" t="s">
        <v>165</v>
      </c>
      <c r="C90" s="3" t="s">
        <v>166</v>
      </c>
      <c r="D90" s="5" t="s">
        <v>245</v>
      </c>
      <c r="E90" s="11" t="s">
        <v>258</v>
      </c>
      <c r="F90" s="44" t="s">
        <v>273</v>
      </c>
    </row>
    <row r="91" spans="1:6" ht="30">
      <c r="A91" s="24"/>
      <c r="B91" s="2" t="s">
        <v>167</v>
      </c>
      <c r="C91" s="3" t="s">
        <v>168</v>
      </c>
      <c r="D91" s="5" t="s">
        <v>246</v>
      </c>
      <c r="E91" s="11"/>
      <c r="F91" s="19"/>
    </row>
    <row r="92" spans="1:6" ht="30">
      <c r="A92" s="24"/>
      <c r="B92" s="2" t="s">
        <v>169</v>
      </c>
      <c r="C92" s="3" t="s">
        <v>170</v>
      </c>
      <c r="D92" s="5" t="s">
        <v>246</v>
      </c>
      <c r="E92" s="11"/>
      <c r="F92" s="19"/>
    </row>
    <row r="93" spans="1:6" ht="30">
      <c r="A93" s="24"/>
      <c r="B93" s="2" t="s">
        <v>171</v>
      </c>
      <c r="C93" s="3" t="s">
        <v>172</v>
      </c>
      <c r="D93" s="5" t="s">
        <v>245</v>
      </c>
      <c r="E93" s="11" t="s">
        <v>247</v>
      </c>
      <c r="F93" s="44" t="s">
        <v>270</v>
      </c>
    </row>
    <row r="94" spans="1:6" ht="30">
      <c r="A94" s="24"/>
      <c r="B94" s="2" t="s">
        <v>173</v>
      </c>
      <c r="C94" s="3" t="s">
        <v>174</v>
      </c>
      <c r="D94" s="5" t="s">
        <v>246</v>
      </c>
      <c r="E94" s="11"/>
      <c r="F94" s="19"/>
    </row>
    <row r="95" spans="1:6" ht="60">
      <c r="A95" s="24"/>
      <c r="B95" s="2" t="s">
        <v>175</v>
      </c>
      <c r="C95" s="3" t="s">
        <v>176</v>
      </c>
      <c r="D95" s="5" t="s">
        <v>246</v>
      </c>
      <c r="E95" s="11"/>
      <c r="F95" s="19"/>
    </row>
    <row r="96" spans="1:6" ht="30">
      <c r="A96" s="25"/>
      <c r="B96" s="2" t="s">
        <v>177</v>
      </c>
      <c r="C96" s="3" t="s">
        <v>178</v>
      </c>
      <c r="D96" s="5" t="s">
        <v>246</v>
      </c>
      <c r="E96" s="11"/>
      <c r="F96" s="19"/>
    </row>
    <row r="97" spans="1:6" ht="30">
      <c r="A97" s="23" t="s">
        <v>179</v>
      </c>
      <c r="B97" s="2" t="s">
        <v>180</v>
      </c>
      <c r="C97" s="3" t="s">
        <v>181</v>
      </c>
      <c r="D97" s="5" t="s">
        <v>246</v>
      </c>
      <c r="E97" s="11"/>
      <c r="F97" s="19"/>
    </row>
    <row r="98" spans="1:6" ht="30">
      <c r="A98" s="24"/>
      <c r="B98" s="2" t="s">
        <v>182</v>
      </c>
      <c r="C98" s="3" t="s">
        <v>183</v>
      </c>
      <c r="D98" s="5" t="s">
        <v>246</v>
      </c>
      <c r="E98" s="11"/>
      <c r="F98" s="19"/>
    </row>
    <row r="99" spans="1:6" ht="17.399999999999999">
      <c r="A99" s="24"/>
      <c r="B99" s="2" t="s">
        <v>184</v>
      </c>
      <c r="C99" s="3" t="s">
        <v>185</v>
      </c>
      <c r="D99" s="5" t="s">
        <v>246</v>
      </c>
      <c r="E99" s="11"/>
      <c r="F99" s="19"/>
    </row>
    <row r="100" spans="1:6" ht="30">
      <c r="A100" s="24"/>
      <c r="B100" s="2" t="s">
        <v>186</v>
      </c>
      <c r="C100" s="3" t="s">
        <v>187</v>
      </c>
      <c r="D100" s="5" t="s">
        <v>246</v>
      </c>
      <c r="E100" s="11"/>
      <c r="F100" s="19"/>
    </row>
    <row r="101" spans="1:6" ht="30">
      <c r="A101" s="24"/>
      <c r="B101" s="2" t="s">
        <v>188</v>
      </c>
      <c r="C101" s="3" t="s">
        <v>189</v>
      </c>
      <c r="D101" s="5" t="s">
        <v>246</v>
      </c>
      <c r="E101" s="11"/>
      <c r="F101" s="19"/>
    </row>
    <row r="102" spans="1:6" ht="60">
      <c r="A102" s="24"/>
      <c r="B102" s="2" t="s">
        <v>190</v>
      </c>
      <c r="C102" s="3" t="s">
        <v>191</v>
      </c>
      <c r="D102" s="5" t="s">
        <v>246</v>
      </c>
      <c r="E102" s="11"/>
      <c r="F102" s="19"/>
    </row>
    <row r="103" spans="1:6" ht="30">
      <c r="A103" s="24"/>
      <c r="B103" s="2" t="s">
        <v>192</v>
      </c>
      <c r="C103" s="3" t="s">
        <v>193</v>
      </c>
      <c r="D103" s="5" t="s">
        <v>246</v>
      </c>
      <c r="E103" s="11"/>
      <c r="F103" s="19"/>
    </row>
    <row r="104" spans="1:6" ht="17.399999999999999">
      <c r="A104" s="24"/>
      <c r="B104" s="2" t="s">
        <v>194</v>
      </c>
      <c r="C104" s="3" t="s">
        <v>195</v>
      </c>
      <c r="D104" s="5" t="s">
        <v>250</v>
      </c>
      <c r="E104" s="11" t="s">
        <v>266</v>
      </c>
      <c r="F104" s="19"/>
    </row>
    <row r="105" spans="1:6" ht="30">
      <c r="A105" s="24"/>
      <c r="B105" s="2" t="s">
        <v>196</v>
      </c>
      <c r="C105" s="3" t="s">
        <v>197</v>
      </c>
      <c r="D105" s="5" t="s">
        <v>250</v>
      </c>
      <c r="E105" s="11" t="s">
        <v>267</v>
      </c>
      <c r="F105" s="19"/>
    </row>
    <row r="106" spans="1:6" ht="45">
      <c r="A106" s="24"/>
      <c r="B106" s="2" t="s">
        <v>198</v>
      </c>
      <c r="C106" s="3" t="s">
        <v>199</v>
      </c>
      <c r="D106" s="5" t="s">
        <v>246</v>
      </c>
      <c r="E106" s="11"/>
      <c r="F106" s="19"/>
    </row>
    <row r="107" spans="1:6" ht="45">
      <c r="A107" s="25"/>
      <c r="B107" s="2" t="s">
        <v>200</v>
      </c>
      <c r="C107" s="3" t="s">
        <v>201</v>
      </c>
      <c r="D107" s="5" t="s">
        <v>246</v>
      </c>
      <c r="E107" s="11"/>
      <c r="F107" s="19"/>
    </row>
    <row r="108" spans="1:6" ht="30">
      <c r="A108" s="23" t="s">
        <v>202</v>
      </c>
      <c r="B108" s="2" t="s">
        <v>203</v>
      </c>
      <c r="C108" s="3" t="s">
        <v>204</v>
      </c>
      <c r="D108" s="5" t="s">
        <v>246</v>
      </c>
      <c r="E108" s="11"/>
      <c r="F108" s="19"/>
    </row>
    <row r="109" spans="1:6" ht="45">
      <c r="A109" s="24"/>
      <c r="B109" s="2" t="s">
        <v>205</v>
      </c>
      <c r="C109" s="3" t="s">
        <v>206</v>
      </c>
      <c r="D109" s="5" t="s">
        <v>246</v>
      </c>
      <c r="E109" s="11"/>
      <c r="F109" s="19"/>
    </row>
    <row r="110" spans="1:6" ht="45">
      <c r="A110" s="24"/>
      <c r="B110" s="2" t="s">
        <v>207</v>
      </c>
      <c r="C110" s="3" t="s">
        <v>208</v>
      </c>
      <c r="D110" s="5" t="s">
        <v>246</v>
      </c>
      <c r="E110" s="11"/>
      <c r="F110" s="19"/>
    </row>
    <row r="111" spans="1:6" ht="30">
      <c r="A111" s="24"/>
      <c r="B111" s="2" t="s">
        <v>209</v>
      </c>
      <c r="C111" s="3" t="s">
        <v>210</v>
      </c>
      <c r="D111" s="5" t="s">
        <v>246</v>
      </c>
      <c r="E111" s="11"/>
      <c r="F111" s="19"/>
    </row>
    <row r="112" spans="1:6" ht="30">
      <c r="A112" s="24"/>
      <c r="B112" s="2" t="s">
        <v>211</v>
      </c>
      <c r="C112" s="3" t="s">
        <v>212</v>
      </c>
      <c r="D112" s="5" t="s">
        <v>246</v>
      </c>
      <c r="E112" s="11"/>
      <c r="F112" s="19"/>
    </row>
    <row r="113" spans="1:6" ht="45">
      <c r="A113" s="24"/>
      <c r="B113" s="2" t="s">
        <v>213</v>
      </c>
      <c r="C113" s="3" t="s">
        <v>214</v>
      </c>
      <c r="D113" s="5" t="s">
        <v>246</v>
      </c>
      <c r="E113" s="11"/>
      <c r="F113" s="19"/>
    </row>
    <row r="114" spans="1:6" ht="30">
      <c r="A114" s="24"/>
      <c r="B114" s="2" t="s">
        <v>215</v>
      </c>
      <c r="C114" s="3" t="s">
        <v>216</v>
      </c>
      <c r="D114" s="5" t="s">
        <v>246</v>
      </c>
      <c r="E114" s="11"/>
      <c r="F114" s="19"/>
    </row>
    <row r="115" spans="1:6" ht="30">
      <c r="A115" s="24"/>
      <c r="B115" s="2" t="s">
        <v>217</v>
      </c>
      <c r="C115" s="3" t="s">
        <v>218</v>
      </c>
      <c r="D115" s="5" t="s">
        <v>246</v>
      </c>
      <c r="E115" s="11"/>
      <c r="F115" s="19"/>
    </row>
    <row r="116" spans="1:6" ht="30">
      <c r="A116" s="24"/>
      <c r="B116" s="2" t="s">
        <v>219</v>
      </c>
      <c r="C116" s="3" t="s">
        <v>220</v>
      </c>
      <c r="D116" s="5" t="s">
        <v>246</v>
      </c>
      <c r="E116" s="11"/>
      <c r="F116" s="19"/>
    </row>
    <row r="117" spans="1:6" ht="45">
      <c r="A117" s="24"/>
      <c r="B117" s="2" t="s">
        <v>221</v>
      </c>
      <c r="C117" s="3" t="s">
        <v>222</v>
      </c>
      <c r="D117" s="5" t="s">
        <v>246</v>
      </c>
      <c r="E117" s="11"/>
      <c r="F117" s="19"/>
    </row>
    <row r="118" spans="1:6" ht="45">
      <c r="A118" s="24"/>
      <c r="B118" s="2" t="s">
        <v>223</v>
      </c>
      <c r="C118" s="3" t="s">
        <v>224</v>
      </c>
      <c r="D118" s="5" t="s">
        <v>246</v>
      </c>
      <c r="E118" s="11"/>
      <c r="F118" s="19"/>
    </row>
    <row r="119" spans="1:6" ht="45">
      <c r="A119" s="25"/>
      <c r="B119" s="2" t="s">
        <v>225</v>
      </c>
      <c r="C119" s="3" t="s">
        <v>226</v>
      </c>
      <c r="D119" s="5" t="s">
        <v>246</v>
      </c>
      <c r="E119" s="11"/>
      <c r="F119" s="19"/>
    </row>
    <row r="123" spans="1:6">
      <c r="A123" s="35" t="s">
        <v>235</v>
      </c>
      <c r="B123" s="35"/>
      <c r="C123" s="35"/>
      <c r="D123" s="35"/>
      <c r="E123" s="10" t="s">
        <v>236</v>
      </c>
    </row>
    <row r="124" spans="1:6">
      <c r="A124" s="36"/>
      <c r="B124" s="36"/>
      <c r="C124" s="36"/>
      <c r="D124" s="36"/>
      <c r="E124" s="15"/>
    </row>
    <row r="125" spans="1:6">
      <c r="A125" s="32"/>
      <c r="B125" s="33"/>
      <c r="C125" s="33"/>
      <c r="D125" s="34"/>
      <c r="E125" s="15"/>
    </row>
    <row r="126" spans="1:6">
      <c r="A126" s="32"/>
      <c r="B126" s="33"/>
      <c r="C126" s="33"/>
      <c r="D126" s="34"/>
      <c r="E126" s="15"/>
    </row>
    <row r="127" spans="1:6">
      <c r="A127" s="29"/>
      <c r="B127" s="30"/>
      <c r="C127" s="30"/>
      <c r="D127" s="31"/>
      <c r="E127" s="15"/>
    </row>
  </sheetData>
  <mergeCells count="29">
    <mergeCell ref="A1:D1"/>
    <mergeCell ref="A5:C5"/>
    <mergeCell ref="A6:C6"/>
    <mergeCell ref="A8:C8"/>
    <mergeCell ref="A9:C9"/>
    <mergeCell ref="A3:C3"/>
    <mergeCell ref="A4:C4"/>
    <mergeCell ref="A2:C2"/>
    <mergeCell ref="A10:C10"/>
    <mergeCell ref="A7:C7"/>
    <mergeCell ref="A14:A22"/>
    <mergeCell ref="A23:A24"/>
    <mergeCell ref="A25:A27"/>
    <mergeCell ref="A28:A40"/>
    <mergeCell ref="A11:C11"/>
    <mergeCell ref="A127:D127"/>
    <mergeCell ref="A125:D125"/>
    <mergeCell ref="A126:D126"/>
    <mergeCell ref="A41:A48"/>
    <mergeCell ref="A123:D123"/>
    <mergeCell ref="A124:D124"/>
    <mergeCell ref="A97:A107"/>
    <mergeCell ref="A108:A119"/>
    <mergeCell ref="A49:A50"/>
    <mergeCell ref="A51:A55"/>
    <mergeCell ref="A56:A65"/>
    <mergeCell ref="A66:A69"/>
    <mergeCell ref="A70:A83"/>
    <mergeCell ref="A84:A96"/>
  </mergeCells>
  <conditionalFormatting sqref="D70:D73 D80:D81 D82:E103 D14:E69 D74:E79 D106:E119 D97:D105">
    <cfRule type="expression" dxfId="11" priority="12">
      <formula>$D14="Dérogé"</formula>
    </cfRule>
    <cfRule type="expression" dxfId="10" priority="13">
      <formula>$D14="Conforme"</formula>
    </cfRule>
    <cfRule type="expression" dxfId="9" priority="14">
      <formula>$D14="Non conforme"</formula>
    </cfRule>
  </conditionalFormatting>
  <conditionalFormatting sqref="D14:E103 D106:E119 D97:D105">
    <cfRule type="expression" dxfId="8" priority="5">
      <formula>$D14="Non testé"</formula>
    </cfRule>
  </conditionalFormatting>
  <conditionalFormatting sqref="E70:E73">
    <cfRule type="expression" dxfId="7" priority="9">
      <formula>$D70="Conforme"</formula>
    </cfRule>
    <cfRule type="expression" dxfId="6" priority="10">
      <formula>$D70="Non conforme"</formula>
    </cfRule>
  </conditionalFormatting>
  <conditionalFormatting sqref="E80:E81">
    <cfRule type="expression" dxfId="5" priority="6">
      <formula>$D80="Conforme"</formula>
    </cfRule>
    <cfRule type="expression" dxfId="4" priority="7">
      <formula>$D80="Non conforme"</formula>
    </cfRule>
  </conditionalFormatting>
  <conditionalFormatting sqref="E104:E105">
    <cfRule type="expression" dxfId="3" priority="1">
      <formula>$D104="Non testé"</formula>
    </cfRule>
  </conditionalFormatting>
  <conditionalFormatting sqref="E104:E105">
    <cfRule type="expression" dxfId="2" priority="2">
      <formula>$D104="Dérogé"</formula>
    </cfRule>
    <cfRule type="expression" dxfId="1" priority="3">
      <formula>$D104="Conforme"</formula>
    </cfRule>
    <cfRule type="expression" dxfId="0" priority="4">
      <formula>$D104="Non conforme"</formula>
    </cfRule>
  </conditionalFormatting>
  <dataValidations count="2">
    <dataValidation type="list" allowBlank="1" showInputMessage="1" showErrorMessage="1" sqref="D14:D119">
      <formula1>"Conforme,Non conforme,Non applicable,Dérogé,Non testé"</formula1>
    </dataValidation>
    <dataValidation allowBlank="1" showInputMessage="1" showErrorMessage="1" prompt="Format JJ/MM/AAAA" sqref="D3"/>
  </dataValidation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SearchListField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Julien Roche</dc:creator>
  <cp:lastModifiedBy>CHARRIER ADRIEN (CNAM / Lyon)</cp:lastModifiedBy>
  <dcterms:created xsi:type="dcterms:W3CDTF">2025-03-05T16:22:31Z</dcterms:created>
  <dcterms:modified xsi:type="dcterms:W3CDTF">2025-11-25T13:57:24Z</dcterms:modified>
</cp:coreProperties>
</file>
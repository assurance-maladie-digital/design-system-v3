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davidfyon/Desktop/"/>
    </mc:Choice>
  </mc:AlternateContent>
  <xr:revisionPtr revIDLastSave="0" documentId="13_ncr:1_{B14E27E9-5BB4-1A42-8B7A-5F289A5196F2}" xr6:coauthVersionLast="47" xr6:coauthVersionMax="47" xr10:uidLastSave="{00000000-0000-0000-0000-000000000000}"/>
  <bookViews>
    <workbookView xWindow="6500" yWindow="2180" windowWidth="39120" windowHeight="23560" tabRatio="936" firstSheet="1" activeTab="2" xr2:uid="{00000000-000D-0000-FFFF-FFFF00000000}"/>
  </bookViews>
  <sheets>
    <sheet name="Infos générales" sheetId="1" r:id="rId1"/>
    <sheet name="SyTextField Audit V1" sheetId="12" r:id="rId2"/>
    <sheet name="SyTextField Audit V2" sheetId="1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1" l="1"/>
  <c r="E8" i="11"/>
  <c r="E7" i="11"/>
  <c r="D9" i="12"/>
  <c r="D8" i="12"/>
  <c r="D7" i="12"/>
  <c r="D6" i="12"/>
  <c r="D5" i="12"/>
  <c r="D9" i="11"/>
  <c r="D8" i="11"/>
  <c r="D7" i="11"/>
  <c r="D6" i="11"/>
  <c r="D5" i="11"/>
  <c r="E10" i="11" l="1"/>
  <c r="E11" i="11" s="1"/>
  <c r="D10" i="12"/>
  <c r="D11" i="12" s="1"/>
  <c r="D10" i="11"/>
  <c r="D11" i="11" s="1"/>
</calcChain>
</file>

<file path=xl/sharedStrings.xml><?xml version="1.0" encoding="utf-8"?>
<sst xmlns="http://schemas.openxmlformats.org/spreadsheetml/2006/main" count="790" uniqueCount="303">
  <si>
    <t>Composant : SyTextField</t>
  </si>
  <si>
    <t>Audit</t>
  </si>
  <si>
    <t>Audit V1</t>
  </si>
  <si>
    <t>Correction post audit V1 - (voir - https://github.com/assurance-maladie-digital/design-system/issues/4028)</t>
  </si>
  <si>
    <t>Date</t>
  </si>
  <si>
    <t>29/04/2025</t>
  </si>
  <si>
    <t>Version</t>
  </si>
  <si>
    <t>0.0.11-alpha</t>
  </si>
  <si>
    <t>0.0.16.alpha</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</si>
  <si>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</si>
  <si>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</si>
  <si>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</si>
  <si>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</si>
  <si>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</si>
  <si>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</si>
  <si>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</si>
  <si>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</si>
  <si>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</si>
  <si>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</si>
  <si>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</si>
  <si>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</si>
  <si>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</si>
  <si>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</si>
  <si>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</si>
  <si>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</si>
  <si>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</si>
  <si>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</si>
  <si>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</si>
  <si>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Non conforme</t>
  </si>
  <si>
    <t>Certaines icônes de décoration possèdent bien le aria-hidden="true" mais le svg possède aussi le "role"="img" qui sera à retirer. C'est le cas par exemple de l'icône required.</t>
  </si>
  <si>
    <t>corrigé dans la version 0.0.16-alpha</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</si>
  <si>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</si>
  <si>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</si>
  <si>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</si>
  <si>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</si>
  <si>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</si>
  <si>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</si>
  <si>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</si>
  <si>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</si>
  <si>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</si>
  <si>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</si>
  <si>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</si>
  <si>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</si>
  <si>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</si>
  <si>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</si>
  <si>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</si>
  <si>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</si>
  <si>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</si>
  <si>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</si>
  <si>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</si>
  <si>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</si>
  <si>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</si>
  <si>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</si>
  <si>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</si>
  <si>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</si>
  <si>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Le test a été fait sur color = "primary". 
Thème clair :
- Libellé :
    - normal/hover =&gt; gris 16px =&gt; 5,74 (conforme)
        - success =&gt; vert 12px =&gt; 4,06 (non conforme =&gt; ratio constraste minimum 4,5)
    - focus =&gt; bleu 12 px =&gt; 9,38 (conforme)
        - success =&gt; vert 12px =&gt; 9,56 (conforme)
    - error (normal/hover/focus) =&gt; rouge 16/12px =&gt; 5,73 (conforme)
- Description de l'erreur =&gt; rouge 14px =&gt; 5,73 (conforme)
Thème sombre :
- Libellé :
    - normal/hover =&gt; gris 16px =&gt; 9,3 (conforme)
        - success =&gt; vert 12px =&gt; 1,25 (non conforme =&gt; ratio constraste minimum 4,5)
    - focus =&gt; bleu azur 12 px =&gt; 6 (conforme)
        - success =&gt; vert 12px =&gt; 1,96 (non conforme =&gt; ratio constraste minimum 4,5)
    - error (normal/hover/focus) =&gt; rouge 16/12px =&gt; 5,2 (conforme)
- Description de l'erreur =&gt; rouge 14px =&gt; 3,27 (non conforme =&gt; ratio constraste minimum 4,5)</t>
  </si>
  <si>
    <t>3.3</t>
  </si>
  <si>
    <t>Dans chaque page web, les couleurs utilisées dans les composants d’interface ou les éléments graphiques porteurs d’informations sont-elles suffisamment contrastées (hors cas particuliers) ?</t>
  </si>
  <si>
    <t>Le test a été fait sur color = "primary".
Thème clair :
- Bordure (voir texte libellé du critère 3.2 pour les success/error) :
    - normal =&gt; gris clair =&gt; 2,7 (non conforme =&gt; ratio constraste minimum 3)
    - hover =&gt; noir =&gt; 16,1 (conforme)
    - focus =&gt; bleu =&gt; 9,38 (conforme)
- Icône :
    - normal =&gt; gris =&gt; 5,74 (conforme)
    - success =&gt; vert =&gt; 3,3 (conforme)
    - error =&gt; rouge =&gt; 5,73 (conforme)
Thème sombre :
- Bordure (voir texte libellé du critère 3.2 pour les success/error) :
    - normal =&gt; gris =&gt; 3,6 (conforme)
    - hover =&gt; noir =&gt; 21 (conforme)
    - focus =&gt; bleu azur =&gt; 6 (conforme)
- Icône :
    - normal =&gt; noir =&gt; 1,1 (non conforme =&gt; ratio contraste minimum 3)
    - success =&gt; vert =&gt; 1,96 (non conforme =&gt; ratio contraste minimum 3)
    - error =&gt; rouge =&gt; 5,2 (conforme)</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</si>
  <si>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</si>
  <si>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</si>
  <si>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</si>
  <si>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</si>
  <si>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</si>
  <si>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</si>
  <si>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</si>
  <si>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</si>
  <si>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</si>
  <si>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</si>
  <si>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</si>
  <si>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</si>
  <si>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</si>
  <si>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</si>
  <si>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</si>
  <si>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</si>
  <si>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</si>
  <si>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</si>
  <si>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</si>
  <si>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</si>
  <si>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</si>
  <si>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</si>
  <si>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</si>
  <si>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</si>
  <si>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</si>
  <si>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</si>
  <si>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</si>
  <si>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</si>
  <si>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</si>
  <si>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</si>
  <si>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</si>
  <si>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</si>
  <si>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</si>
  <si>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</si>
  <si>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</si>
  <si>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</si>
  <si>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</si>
  <si>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</si>
  <si>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</si>
  <si>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</si>
  <si>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</si>
  <si>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</si>
  <si>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</si>
  <si>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</si>
  <si>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</si>
  <si>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</si>
  <si>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</si>
  <si>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</si>
  <si>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</si>
  <si>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</si>
  <si>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</si>
  <si>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</si>
  <si>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r>
      <t xml:space="preserve">Voir les critères 11.10, 11.11 et 11.13.
</t>
    </r>
    <r>
      <rPr>
        <b/>
        <sz val="12"/>
        <color theme="1"/>
        <rFont val="Aptos Narrow"/>
        <scheme val="minor"/>
      </rPr>
      <t>Exemple du champ "Montant" avec "$" et "TTC" :</t>
    </r>
    <r>
      <rPr>
        <sz val="12"/>
        <color theme="1"/>
        <rFont val="Aptos Narrow"/>
        <scheme val="minor"/>
      </rPr>
      <t xml:space="preserve">
Par ailleurs, l'implémentation dans la documentation de l'exemple "With Prefix and Suffix" n'est pas accessible. En effet, nous n'avons jamais l'information au lecteur d'écran que le montant est en dollar et en TTC. Une possibilité technique est d'ignorer les span "$" et "TTC" (aria-hidden="true") et de mentionner le label comme suit :
&lt;label&gt;
    Montant
    &lt;span class="sr-only"&gt; en dollar TTC&lt;/span&gt;
&lt;/label&gt;</t>
    </r>
  </si>
  <si>
    <t>7.2</t>
  </si>
  <si>
    <t>Pour chaque script ayant une alternative, cette alternative est-elle pertinente ?</t>
  </si>
  <si>
    <t>7.3</t>
  </si>
  <si>
    <t>Chaque script est-il contrôlable par le clavier et par tout dispositif de pointage (hors cas particuliers) ?</t>
  </si>
  <si>
    <t>Conforme</t>
  </si>
  <si>
    <t xml:space="preserve"> Essai touche tab focus ok sur l'input</t>
  </si>
  <si>
    <t>7.4</t>
  </si>
  <si>
    <t>Pour chaque script qui initie un changement de contexte, l’utilisateur est-il averti ou en a-t-il le contrôle ?</t>
  </si>
  <si>
    <t>7.5</t>
  </si>
  <si>
    <t>Dans chaque page web, les messages de statut sont-ils correctement restitués par les technologies d’assistance ?</t>
  </si>
  <si>
    <t>Les descriptions des erreurs et aide à la saisie possèdent un role alert. Ce role est superflu car ce texte est de nouveau restitué lorsque l'on passe à l'élément focusable suivant ou précédent.
Pour en savoir plus, voir le critère 11.10.</t>
  </si>
  <si>
    <t>ÉLÉMENTS OBLIGATOIRES</t>
  </si>
  <si>
    <t>8.1</t>
  </si>
  <si>
    <t>Chaque page web est-elle définie par un type de document ?</t>
  </si>
  <si>
    <t>8.2</t>
  </si>
  <si>
    <t>Pour chaque page web, le code source généré est-il valide selon le type de document spécifié (hors cas particuliers) ?</t>
  </si>
  <si>
    <t xml:space="preserve">Erreurs remontées par le validateur W3C :
- Attribute display-asterisk not allowed on element input at this point.
- Attribute no-icon not allowed on element input at this point.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</si>
  <si>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</si>
  <si>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</si>
  <si>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</si>
  <si>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</si>
  <si>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</si>
  <si>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</si>
  <si>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</si>
  <si>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</si>
  <si>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</si>
  <si>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</si>
  <si>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</si>
  <si>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</si>
  <si>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</si>
  <si>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</si>
  <si>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</si>
  <si>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</si>
  <si>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</si>
  <si>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</si>
  <si>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</si>
  <si>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</si>
  <si>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</si>
  <si>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</si>
  <si>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</si>
  <si>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</si>
  <si>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</si>
  <si>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</si>
  <si>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</si>
  <si>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</si>
  <si>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L'input possède un attribut "size" servant à la présentation de l'information. Celui-ci ne doit pas être présent (critère 10.1.2) et donc être géré uniquement côté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</si>
  <si>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</si>
  <si>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</si>
  <si>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contenu visible porteur d'information reste présent lorsque les feuilles de styles sont désactivées.</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</si>
  <si>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</si>
  <si>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</si>
  <si>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</si>
  <si>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</si>
  <si>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</si>
  <si>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Le texte reste lisible que ce soit en zoom 200% écran ou texte.</t>
  </si>
  <si>
    <t>10.5</t>
  </si>
  <si>
    <t>Dans chaque page web, les déclarations CSS de couleurs de fond d’élément et de police sont-elles correctement utilisées ?</t>
  </si>
  <si>
    <t>Le champ input est transparent. Il sera donc de la responsabilité du contributeur de s'assurer qu'une div parente possède une valeur background qui coïncide avec les exigences de contrastes.</t>
  </si>
  <si>
    <t>10.6</t>
  </si>
  <si>
    <t>Dans chaque page web, chaque lien dont la nature n’est pas évidente est-il visible par rapport au texte environnant ?</t>
  </si>
  <si>
    <t>10.7</t>
  </si>
  <si>
    <t>Dans chaque page web, pour chaque élément recevant le focus, la prise de focus est-elle visible ?</t>
  </si>
  <si>
    <t>Un focus est appliqué sur l'input changeant son style. Celui est considéré comme non visible car son contraste est insuffisant dans certains cas particuliers (voir critère 3.3).</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</si>
  <si>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</si>
  <si>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</si>
  <si>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</si>
  <si>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</si>
  <si>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</si>
  <si>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</si>
  <si>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</si>
  <si>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</si>
  <si>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Aucun troncage de texte. Le composant n'oblige pas à avoir recours au défilement afin de permettre la visualisuation complète du contenu.</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</si>
  <si>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</si>
  <si>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</si>
  <si>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</si>
  <si>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</si>
  <si>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</si>
  <si>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</si>
  <si>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</si>
  <si>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</si>
  <si>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</si>
  <si>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</si>
  <si>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Balise "label" ayant un attribut "for" associé à l'input (id)</t>
  </si>
  <si>
    <t>11.2</t>
  </si>
  <si>
    <t>Chaque étiquette associée à un champ de formulaire est-elle pertinente (hors cas particuliers) ?</t>
  </si>
  <si>
    <t>Les exemples de la documentation sont pertinents. Il sera de la responsabilité du contributeur de s'en assurer.</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</si>
  <si>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</si>
  <si>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</si>
  <si>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</si>
  <si>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</si>
  <si>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L'étiquette et le champ associé sont bien accolés. L'étiquette est placé au dessus lorsque le focus est pris sinon au centre. Cela fait parti des cas particuliers des critères 11.4.2 et 11.4.3 : "Dans le cas où les champs seraient utilisés dans un contexte où il pourrait être légitime, du point de vue de l’expérience utilisateur, de placer les étiquettes de manière différente à celle requise dans les tests 11.4.2 et 11.4.3."</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</si>
  <si>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</si>
  <si>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</si>
  <si>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</si>
  <si>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</si>
  <si>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</si>
  <si>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</si>
  <si>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</si>
  <si>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</si>
  <si>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</si>
  <si>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</si>
  <si>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</si>
  <si>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</si>
  <si>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Required :
    - Aucune indication nous informe que le champ est obligatoire dans le cas "Required" sans astérisque. Il sera préférable de forcer le cas "Required" avec cette indication de champ obligatoire =&gt; "*" dans la balise "label". Il sera à la charge du contributeur d'indiquer dans le formulaire que * = Champ obligatoire. Par ailleurs, il est recommandé d'y associer un attribut 'aria-required="true"' pour maximiser la conformité pour tout type de formulaire.
- Lorsqu'un champ est en erreur, il est essentiel d'associer le message d'erreur au champ, soit dans le libellé, soit via "aria-describedby". C'est le cas ici. En revanche, il y a un rôle "alert" sur la div "input-0-messages". Cela signifie que chaque champ en erreur sera restituée au lecteur d'écran en coupant la transcription orale des autres. Ce rôle est donc à retirer et ce sera au contributeur de gérer la gestion du focus après soumission du formulaire pour retranscrire correctement les messages d'erreur.
- Des aides à la saisie doivent être présente et pertinente dans le cas où il y a un type de donnée ou un format spécifique à respecter avant que l'utilisateur ne commence à remplir le champ. Pour cela, il doit être présent, soit dans le libellé, soit via "aria-describedby" comme les messages d'erreurs. À la différence que le message est présent dès le début. Exemples : Validation Rules / Email (format) / Code postal (format) / Form Validation (Prénom et Âge) / Without Success Messages (format de l'email)</t>
  </si>
  <si>
    <t>11.11</t>
  </si>
  <si>
    <t>Dans chaque formulaire, le contrôle de saisie est-il accompagné, si nécessaire, de suggestions facilitant la correction des erreurs de saisie ?</t>
  </si>
  <si>
    <t>Lorsqu'une erreur apparaît et que le champ nécessite une aide à la saisie, il faut donner un exemple (suggestion) de saisie autre que celle mentionnée dans l'aide à la saisie dans le paragraphe d'erreur.</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</si>
  <si>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</si>
  <si>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</si>
  <si>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</si>
  <si>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</si>
  <si>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Chaque champ concerné par l'attribut "autocomplete" doit en posséder un. Le composant doit donc pouvoir laisser la possibilité à l'utilisateur d'utiliser ces attributs et les exemples présents dans la documentation doivent correspondrent avec ce critère.
Par exemple :
- Mail =&gt; autocomplete="email"
- Tel =&gt; autocomplete="tel"
- Prénom =&gt; autocomplete="given-name"
- Nom =&gt; autocomplete="family-name"
- Nom d'utilisateur =&gt; autocomplete="username"
- Nouveau mot de passe =&gt; autocomplete="new-password"
- Mot de passe actuel =&gt; autocomplete="current-password"
- Code postal =&gt; autocomplete="postal-code"
- etc.
Pour en savoir plus : https://developer.mozilla.org/fr/docs/Web/HTML/Reference/Attributes/autocomplete</t>
  </si>
  <si>
    <t>corrigé dans la version 0.0.14-alpha</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</si>
  <si>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</si>
  <si>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</si>
  <si>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</si>
  <si>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</si>
  <si>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</si>
  <si>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</si>
  <si>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</si>
  <si>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</si>
  <si>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</si>
  <si>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</si>
  <si>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</si>
  <si>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</si>
  <si>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</si>
  <si>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</si>
  <si>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</si>
  <si>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</si>
  <si>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</si>
  <si>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</si>
  <si>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</si>
  <si>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pas de piege avec la touche tab tout les éléments sont atteignables</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</si>
  <si>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</si>
  <si>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</si>
  <si>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</si>
  <si>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</si>
  <si>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</si>
  <si>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</si>
  <si>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</si>
  <si>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</si>
  <si>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</si>
  <si>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</si>
  <si>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</si>
  <si>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</si>
  <si>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</si>
  <si>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</si>
  <si>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</si>
  <si>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</si>
  <si>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</si>
  <si>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</si>
  <si>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</si>
  <si>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</si>
  <si>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</si>
  <si>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</si>
  <si>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</si>
  <si>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</si>
  <si>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</si>
  <si>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</si>
  <si>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</si>
  <si>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</si>
  <si>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</si>
  <si>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</si>
  <si>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</si>
  <si>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Les champs de formulaires doivent avoir une étiquette. Techniquement, il est communément utilisé la balise "label" avec les attributs "for" et "id".
Celle-ci doit être pertinente et accolée au champ associé.</t>
  </si>
  <si>
    <t xml:space="preserve">- https://www.accede-web.com/notices/html-et-css/formulaires/utiliser-la-balise-label-ainsi-que-les-attributs-for-et-id-pour-etiqueter-les-champs-avec-intitule-visible/
- 
</t>
  </si>
  <si>
    <t>Selon la finalité du champ, le remplissage automatique est possible (attribut "autocomplete").</t>
  </si>
  <si>
    <t>- https://www.accede-web.com/notices/html-et-css/formulaires/utiliser-lattribut-autocomplete-pour-faciliter-le-remplissage-automatique-des-champs/</t>
  </si>
  <si>
    <t>En cas d'aide à la saisie, l'inscription est visible  dans un message ou présente dans l'étiquette. Il doit être rattaché au libellé ou situé dans le passage de texte associé au champ.</t>
  </si>
  <si>
    <t>- https://www.accede-web.com/notices/html-et-css/formulaires/integrer-les-aides-a-la-saisie-directement-dans-les-balises-label/</t>
  </si>
  <si>
    <t>Les champs obligatoires possèdent l'une et/ou l'autre condition :
- un intitulé visible permettant de l'identifier comme tel
- un attribut "required" ou 'aria-required="true"'.
Il doit être rattaché au libellé ou situé dans le passage de texte associé au champ.</t>
  </si>
  <si>
    <t>- https://www.accede-web.com/notices/html-et-css/formulaires/integrer-required-ou-aria-requiredtrue-dans-les-champs-obligatoires/</t>
  </si>
  <si>
    <t>En cas d'erreur,  le champ possède l'une et/ou l'autre condition :
- un message visible permet de l'identifier comme tel
- un attribut 'aria-invalid="true"'.
Il doit être rattaché au libellé ou situé dans le passage de texte associé au champ.
Par ailleurs, s'il s'agit d'une erreur de type ou format, l'information est retranscrite dans le message d'erreur avec des exemples de valeurs attendues autre que celle de l'aise à la saisie</t>
  </si>
  <si>
    <t>- https://www.accede-web.com/notices/html-et-css/formulaires/integrer-les-messages-derreur-et-les-suggestions-de-correction-directement-dans-les-balises-label/</t>
  </si>
  <si>
    <t>1.0.3</t>
  </si>
  <si>
    <t>Audit V2</t>
  </si>
  <si>
    <t>Certaines icônes de décoration possèdent bien le aria-hidden="true" mais le svg possède aussi le "role"="img" qui sera à retirer. C'est le cas par exemple de l'icône required.
- Icônes valides : effacer, toutes les icônes ajoutées (prepend/append inner/outside)
- Icônes invalides : check, warning, error</t>
  </si>
  <si>
    <t>Required :
    - Aucune indication nous informe que le champ est obligatoire dans le cas "Required" sans astérisque. Il sera préférable de forcer le cas "Required" avec cette indication de champ obligatoire =&gt; "*" dans la balise "label". Il sera à la charge du contributeur d'indiquer dans le formulaire que * = Champ obligatoire. Par ailleurs, il est recommandé d'y associer un attribut 'aria-required="true"' pour maximiser la conformité pour tout type de formulaire sur la balise input.
- Lorsqu'un champ est en erreur, il est essentiel d'associer le message d'erreur au champ, soit dans le libellé, soit via "aria-describedby". C'était le cas lors du précédent audit mais aujourd'hui nous avons 2 problèmes :
  - absence de "aria-describedby" reprenant l'id "input-0-messages" lorsque la div existe
  - il y a un rôle "alert" sur la div "input-0-messages". Cela signifie que chaque champ en erreur sera restituée au lecteur d'écran en coupant la transcription orale des autres. Ce rôle en plus de l'attribut aria-live="polite" sont donc à retirer et ce sera au contributeur de gérer la gestion du focus après soumission du formulaire pour retranscrire correctement les messages d'erreur.
- Des aides à la saisie doivent être présente et pertinente dans le cas où il y a un type de donnée ou un format spécifique à respecter avant que l'utilisateur ne commence à remplir le champ. Pour cela, il doit être présent, soit dans le libellé, soit via "aria-describedby" comme les messages d'erreurs. À la différence que le message est présent dès le début. Exemples : Validation Rules / Email (format) / Code postal (format) / Form Validation (Prénom et Âge) / Without Success Messages (format de l'email)</t>
  </si>
  <si>
    <t>Chaque champ concerné par l'attribut "autocomplete" doit en posséder un. Le composant doit donc pouvoir laisser la possibilité à l'utilisateur d'utiliser ces attributs et les exemples présents dans la documentation doivent correspondrent avec ce critère.
Par exemple :
- Mail =&gt; autocomplete="email"
- Tel =&gt; autocomplete="tel"
- Prénom =&gt; autocomplete="given-name"
- Nom =&gt; autocomplete="family-name"
- Nom d'utilisateur =&gt; autocomplete="username"
- Nouveau mot de passe =&gt; autocomplete="new-password"
- Mot de passe actuel =&gt; autocomplete="current-password"
- Code postal =&gt; autocomplete="postal-code"
- etc.
Pour en savoir plus : https://developer.mozilla.org/fr/docs/Web/HTML/Reference/Attributes/autocomplete
Audit V2 : Ok pour les exemples de la documentation "Email Validation" et "Pattern Validation". Il manque les champs Nom/Prénom dans "Form Validation" et les deux champs email dans "Without Success Messages".</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</si>
  <si>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</si>
  <si>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 xml:space="preserve">Aucune erreur remontée par le validateur HTML W3C
</t>
  </si>
  <si>
    <t>Le test a été fait sur color = "primary". 
Thème clair :
- Libellé :
    - normal/hover =&gt; gris 16px =&gt; 5,74 (conforme)
        - success =&gt; vert 12px =&gt; 6,2 (conforme)
    - focus =&gt; bleu 12 px =&gt; 9,38 (conforme)
        - success =&gt; vert 12px =&gt; 9,56 (conforme)
    - error (normal/hover/focus) =&gt; rouge 16/12px =&gt; 5,73 (conforme)
- Description de l'erreur =&gt; rouge 14px =&gt; 5,73 (conforme)
Le thème sombre ne fait pas parti de l'audit.</t>
  </si>
  <si>
    <t>Le test a été fait sur color = "primary".
Thème clair :
- Bordure (voir texte libellé du critère 3.2 pour les success/error) :
    - normal =&gt; non audité car possède un texte (le libellé) qui permet d'identifier la zone de saisie (voir User Interface Components &gt; Boundaries : https://www.w3.org/WAI/WCAG21/Understanding/non-text-contrast.html). En revanche, le contraste est de 2,7. Il reste recommandé d'atteindre un niveau à 3.
    - hover =&gt; noir =&gt; 16,1 (conforme)
    - focus =&gt; bleu =&gt; 9,38 (conforme)
- Icône :
    - normal =&gt; gris =&gt; 5,74 (conforme)
    - success =&gt; vert =&gt; 3,3 (conforme)
    - error =&gt; rouge =&gt; 5,73 (conforme)
Le thème sombre ne fait pas parti de l'audit.</t>
  </si>
  <si>
    <t>Un focus est appliqué sur l'input changeant son style. Celui est considéré comme  visible car son contraste est suffisant (voir critère 3.3).</t>
  </si>
  <si>
    <t>Vicon remplacé par SyIcon</t>
  </si>
  <si>
    <t>Ajout du prefix et suffix dans le label lorsqu'ils sont renseignés</t>
  </si>
  <si>
    <t>Voir 11.10</t>
  </si>
  <si>
    <t>Correction post audit V2 - (voir - https://github.com/assurance-maladie-digital/design-system/issues/935)</t>
  </si>
  <si>
    <t>1.0.6</t>
  </si>
  <si>
    <t>Ajout d'un message sur la doc pour le required
Ajout d'aria-required lorsque required est renseigné
Ajout d'un aria-describedby à l'input et suppression du rôle alert et de l'attribut aria-live polite
Ajout d'une prop helpText pour l'aide à la saisie</t>
  </si>
  <si>
    <t>Mise à jour des stories correspondantes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</si>
</sst>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2"/>
      <color theme="1"/>
      <name val="Aptos Narrow"/>
      <scheme val="minor"/>
    </font>
    <font>
      <b/>
      <sz val="14"/>
      <name val="Aptos Narrow"/>
      <scheme val="minor"/>
    </font>
    <font>
      <b/>
      <sz val="14"/>
      <color theme="1"/>
      <name val="Aptos Narrow"/>
      <scheme val="minor"/>
    </font>
    <font>
      <sz val="12"/>
      <color rgb="FF000000"/>
      <name val="Aptos Narrow"/>
    </font>
    <font>
      <sz val="12"/>
      <color theme="6"/>
      <name val="Aptos Narrow"/>
      <scheme val="minor"/>
    </font>
    <font>
      <sz val="12"/>
      <color theme="6"/>
      <name val="Aptos Narrow"/>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indexed="64"/>
      </patternFill>
    </fill>
  </fills>
  <borders count="15">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50">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8" fillId="0" borderId="0" xfId="0" applyFont="1" applyAlignment="1">
      <alignment horizontal="center" vertical="center" wrapText="1"/>
    </xf>
    <xf numFmtId="0" fontId="11" fillId="3" borderId="5" xfId="0" applyFont="1" applyFill="1" applyBorder="1"/>
    <xf numFmtId="0" fontId="3" fillId="0" borderId="5" xfId="0" quotePrefix="1" applyFont="1" applyBorder="1" applyAlignment="1">
      <alignment horizontal="left" vertical="top" wrapText="1"/>
    </xf>
    <xf numFmtId="0" fontId="3" fillId="0" borderId="6" xfId="0" applyFont="1" applyBorder="1" applyAlignment="1">
      <alignment horizontal="left" vertical="top" wrapText="1"/>
    </xf>
    <xf numFmtId="0" fontId="10" fillId="0" borderId="6" xfId="0" applyFont="1" applyBorder="1" applyAlignment="1">
      <alignment horizontal="right" vertical="top"/>
    </xf>
    <xf numFmtId="0" fontId="10" fillId="0" borderId="6" xfId="0" applyFont="1" applyBorder="1"/>
    <xf numFmtId="9" fontId="14" fillId="0" borderId="6" xfId="1" applyFont="1" applyFill="1" applyBorder="1"/>
    <xf numFmtId="14" fontId="10" fillId="0" borderId="12" xfId="0" applyNumberFormat="1" applyFont="1" applyBorder="1"/>
    <xf numFmtId="0" fontId="7" fillId="3" borderId="13" xfId="0" applyFont="1" applyFill="1" applyBorder="1"/>
    <xf numFmtId="0" fontId="3" fillId="0" borderId="6" xfId="0" applyFont="1" applyBorder="1" applyAlignment="1">
      <alignment horizontal="left" vertical="top"/>
    </xf>
    <xf numFmtId="9" fontId="14" fillId="0" borderId="10" xfId="0" applyNumberFormat="1" applyFont="1" applyBorder="1" applyAlignment="1">
      <alignment horizontal="right"/>
    </xf>
    <xf numFmtId="0" fontId="10" fillId="0" borderId="10" xfId="0" applyFont="1" applyBorder="1" applyAlignment="1">
      <alignment horizontal="right"/>
    </xf>
    <xf numFmtId="0" fontId="10" fillId="0" borderId="14" xfId="0" applyFont="1" applyBorder="1" applyAlignment="1">
      <alignment horizontal="right"/>
    </xf>
    <xf numFmtId="0" fontId="10" fillId="0" borderId="1" xfId="0" applyFont="1" applyBorder="1" applyAlignment="1">
      <alignment horizontal="right"/>
    </xf>
    <xf numFmtId="0" fontId="14" fillId="0" borderId="10" xfId="0" applyFont="1" applyBorder="1" applyAlignment="1">
      <alignment horizontal="right"/>
    </xf>
    <xf numFmtId="0" fontId="3" fillId="0" borderId="0" xfId="0" applyFont="1" applyAlignment="1">
      <alignment vertical="top" wrapText="1"/>
    </xf>
    <xf numFmtId="0" fontId="7" fillId="3" borderId="10" xfId="0" applyFont="1" applyFill="1" applyBorder="1" applyAlignment="1">
      <alignment vertical="top" wrapText="1"/>
    </xf>
    <xf numFmtId="0" fontId="3" fillId="0" borderId="10" xfId="0" applyFont="1" applyBorder="1" applyAlignment="1">
      <alignment vertical="top" wrapText="1"/>
    </xf>
    <xf numFmtId="0" fontId="3" fillId="0" borderId="1" xfId="0" applyFont="1" applyBorder="1" applyAlignment="1">
      <alignment vertical="top" wrapText="1"/>
    </xf>
    <xf numFmtId="0" fontId="3" fillId="6" borderId="10" xfId="0" applyFont="1" applyFill="1" applyBorder="1" applyAlignment="1">
      <alignment vertical="top" wrapText="1"/>
    </xf>
    <xf numFmtId="0" fontId="3" fillId="6" borderId="4" xfId="0" applyFont="1" applyFill="1" applyBorder="1" applyAlignment="1">
      <alignment vertical="top" wrapText="1"/>
    </xf>
    <xf numFmtId="0" fontId="15" fillId="6" borderId="10" xfId="0" applyFont="1" applyFill="1" applyBorder="1" applyAlignment="1">
      <alignment wrapText="1"/>
    </xf>
    <xf numFmtId="0" fontId="11" fillId="3" borderId="5" xfId="0" applyFont="1" applyFill="1" applyBorder="1" applyAlignment="1">
      <alignment horizontal="left"/>
    </xf>
    <xf numFmtId="0" fontId="3" fillId="0" borderId="6"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9" fillId="0" borderId="6"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13" fillId="0" borderId="6"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2" fillId="4" borderId="7"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13" fillId="0" borderId="10" xfId="0" applyFont="1" applyBorder="1" applyAlignment="1">
      <alignment horizontal="left" vertical="center" wrapText="1"/>
    </xf>
    <xf numFmtId="0" fontId="9" fillId="0" borderId="11" xfId="0" applyFont="1" applyBorder="1" applyAlignment="1">
      <alignment horizontal="left" vertical="top" wrapText="1"/>
    </xf>
    <xf numFmtId="0" fontId="16" fillId="6" borderId="10" xfId="0" applyFont="1" applyFill="1" applyBorder="1" applyAlignment="1">
      <alignment vertical="top" wrapText="1"/>
    </xf>
    <xf numFmtId="0" fontId="16" fillId="6" borderId="4" xfId="0" applyFont="1" applyFill="1" applyBorder="1" applyAlignment="1">
      <alignment vertical="top" wrapText="1"/>
    </xf>
    <xf numFmtId="14" fontId="10" fillId="0" borderId="1" xfId="0" applyNumberFormat="1" applyFont="1" applyBorder="1" applyAlignment="1">
      <alignment horizontal="right"/>
    </xf>
    <xf numFmtId="0" fontId="17" fillId="6" borderId="10" xfId="0" applyFont="1" applyFill="1" applyBorder="1" applyAlignment="1">
      <alignment wrapText="1"/>
    </xf>
    <xf numFmtId="0" fontId="17" fillId="6" borderId="10" xfId="0" applyFont="1" applyFill="1" applyBorder="1" applyAlignment="1">
      <alignment vertical="top" wrapText="1"/>
    </xf>
  </cellXfs>
  <cellStyles count="2">
    <cellStyle name="Normal" xfId="0" builtinId="0"/>
    <cellStyle name="Pourcentage" xfId="1" builtinId="5"/>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colors>
    <mruColors>
      <color rgb="FFC6EFCE"/>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B30" sqref="B30"/>
    </sheetView>
  </sheetViews>
  <sheetFormatPr baseColWidth="10" defaultColWidth="11" defaultRowHeight="16"/>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180BF-86F1-A847-ACFB-2DEED82D9B86}">
  <dimension ref="A1:F127"/>
  <sheetViews>
    <sheetView zoomScale="110" zoomScaleNormal="110" workbookViewId="0">
      <selection activeCell="E2" sqref="E2"/>
    </sheetView>
  </sheetViews>
  <sheetFormatPr baseColWidth="10" defaultColWidth="10.83203125" defaultRowHeight="16"/>
  <cols>
    <col min="1" max="1" width="15" style="1" customWidth="1"/>
    <col min="2" max="2" width="10.33203125" style="1" bestFit="1" customWidth="1"/>
    <col min="3" max="3" width="59.83203125" style="1" customWidth="1"/>
    <col min="4" max="4" width="17.33203125" style="1" customWidth="1"/>
    <col min="5" max="5" width="115.1640625" style="1" customWidth="1"/>
    <col min="6" max="6" width="21.1640625" style="21" customWidth="1"/>
    <col min="7" max="16384" width="10.83203125" style="1"/>
  </cols>
  <sheetData>
    <row r="1" spans="1:6" ht="32" customHeight="1">
      <c r="A1" s="42" t="s">
        <v>0</v>
      </c>
      <c r="B1" s="42"/>
      <c r="C1" s="42"/>
      <c r="D1" s="42"/>
    </row>
    <row r="2" spans="1:6" ht="19">
      <c r="A2" s="43" t="s">
        <v>1</v>
      </c>
      <c r="B2" s="43"/>
      <c r="C2" s="43"/>
      <c r="D2" s="18" t="s">
        <v>2</v>
      </c>
      <c r="E2" s="20" t="s">
        <v>3</v>
      </c>
    </row>
    <row r="3" spans="1:6" ht="19">
      <c r="A3" s="44" t="s">
        <v>4</v>
      </c>
      <c r="B3" s="44"/>
      <c r="C3" s="44"/>
      <c r="D3" s="13">
        <v>45740</v>
      </c>
      <c r="E3" s="19" t="s">
        <v>5</v>
      </c>
    </row>
    <row r="4" spans="1:6" ht="19" customHeight="1">
      <c r="A4" s="35" t="s">
        <v>6</v>
      </c>
      <c r="B4" s="36"/>
      <c r="C4" s="37"/>
      <c r="D4" s="10" t="s">
        <v>7</v>
      </c>
      <c r="E4" s="17" t="s">
        <v>8</v>
      </c>
    </row>
    <row r="5" spans="1:6" ht="16" customHeight="1">
      <c r="A5" s="35" t="s">
        <v>9</v>
      </c>
      <c r="B5" s="36"/>
      <c r="C5" s="37"/>
      <c r="D5" s="11">
        <f xml:space="preserve"> COUNTIF($D$13:$D$118,"Conforme")</f>
        <v>9</v>
      </c>
      <c r="E5" s="17">
        <v>20</v>
      </c>
    </row>
    <row r="6" spans="1:6" ht="19" customHeight="1">
      <c r="A6" s="35" t="s">
        <v>10</v>
      </c>
      <c r="B6" s="36"/>
      <c r="C6" s="37"/>
      <c r="D6" s="11">
        <f xml:space="preserve"> COUNTIF($D$13:$D$118,"Non conforme")</f>
        <v>11</v>
      </c>
      <c r="E6" s="17">
        <v>0</v>
      </c>
    </row>
    <row r="7" spans="1:6" ht="19" customHeight="1">
      <c r="A7" s="35" t="s">
        <v>11</v>
      </c>
      <c r="B7" s="36"/>
      <c r="C7" s="37"/>
      <c r="D7" s="11">
        <f xml:space="preserve"> COUNTIF($D$13:$D$118,"Non applicable")</f>
        <v>85</v>
      </c>
      <c r="E7" s="17">
        <v>85</v>
      </c>
    </row>
    <row r="8" spans="1:6" ht="19" customHeight="1">
      <c r="A8" s="35" t="s">
        <v>12</v>
      </c>
      <c r="B8" s="36"/>
      <c r="C8" s="37"/>
      <c r="D8" s="11">
        <f xml:space="preserve"> COUNTIF($D$13:$D$118,"Dérogé")</f>
        <v>0</v>
      </c>
      <c r="E8" s="17">
        <v>0</v>
      </c>
    </row>
    <row r="9" spans="1:6" ht="19" customHeight="1">
      <c r="A9" s="35" t="s">
        <v>13</v>
      </c>
      <c r="B9" s="36"/>
      <c r="C9" s="37"/>
      <c r="D9" s="11">
        <f xml:space="preserve"> COUNTIF($D$13:$D$118,"Non testé")</f>
        <v>0</v>
      </c>
      <c r="E9" s="17">
        <v>0</v>
      </c>
    </row>
    <row r="10" spans="1:6" ht="19" customHeight="1">
      <c r="A10" s="38" t="s">
        <v>14</v>
      </c>
      <c r="B10" s="39"/>
      <c r="C10" s="40"/>
      <c r="D10" s="12">
        <f>IF(SUM(D5:D6)&gt;0,D5/SUM(D5:D6),"")</f>
        <v>0.45</v>
      </c>
      <c r="E10" s="16">
        <v>1</v>
      </c>
    </row>
    <row r="11" spans="1:6" ht="19" customHeight="1">
      <c r="A11" s="38" t="s">
        <v>15</v>
      </c>
      <c r="B11" s="39"/>
      <c r="C11" s="40"/>
      <c r="D11" s="12">
        <f>IF(SUM(D5:D6)&gt;0,1-ROUND(D10,2),"")</f>
        <v>0.55000000000000004</v>
      </c>
      <c r="E11" s="16">
        <v>0</v>
      </c>
    </row>
    <row r="12" spans="1:6">
      <c r="A12" s="6"/>
      <c r="B12" s="6"/>
      <c r="C12" s="6"/>
    </row>
    <row r="13" spans="1:6" ht="20">
      <c r="A13" s="4" t="s">
        <v>16</v>
      </c>
      <c r="B13" s="4" t="s">
        <v>17</v>
      </c>
      <c r="C13" s="4" t="s">
        <v>18</v>
      </c>
      <c r="D13" s="4" t="s">
        <v>19</v>
      </c>
      <c r="E13" s="14" t="s">
        <v>20</v>
      </c>
      <c r="F13" s="22" t="s">
        <v>21</v>
      </c>
    </row>
    <row r="14" spans="1:6" ht="34">
      <c r="A14" s="41" t="s">
        <v>22</v>
      </c>
      <c r="B14" s="2" t="s">
        <v>23</v>
      </c>
      <c r="C14" s="3" t="s">
        <v>24</v>
      </c>
      <c r="D14" s="5" t="s">
        <v>25</v>
      </c>
      <c r="E14" s="15"/>
      <c r="F14" s="23"/>
    </row>
    <row r="15" spans="1:6" ht="34">
      <c r="A15" s="33"/>
      <c r="B15" s="2" t="s">
        <v>26</v>
      </c>
      <c r="C15" s="3" t="s">
        <v>27</v>
      </c>
      <c r="D15" s="5" t="s">
        <v>28</v>
      </c>
      <c r="E15" s="9" t="s">
        <v>29</v>
      </c>
      <c r="F15" s="25" t="s">
        <v>30</v>
      </c>
    </row>
    <row r="16" spans="1:6" ht="34">
      <c r="A16" s="33"/>
      <c r="B16" s="2" t="s">
        <v>31</v>
      </c>
      <c r="C16" s="3" t="s">
        <v>32</v>
      </c>
      <c r="D16" s="5" t="s">
        <v>25</v>
      </c>
      <c r="E16" s="9"/>
      <c r="F16" s="23"/>
    </row>
    <row r="17" spans="1:6" ht="51">
      <c r="A17" s="33"/>
      <c r="B17" s="2" t="s">
        <v>33</v>
      </c>
      <c r="C17" s="3" t="s">
        <v>34</v>
      </c>
      <c r="D17" s="5" t="s">
        <v>25</v>
      </c>
      <c r="E17" s="15"/>
      <c r="F17" s="23"/>
    </row>
    <row r="18" spans="1:6" ht="34">
      <c r="A18" s="33"/>
      <c r="B18" s="2" t="s">
        <v>35</v>
      </c>
      <c r="C18" s="3" t="s">
        <v>36</v>
      </c>
      <c r="D18" s="5" t="s">
        <v>25</v>
      </c>
      <c r="E18" s="15"/>
      <c r="F18" s="23"/>
    </row>
    <row r="19" spans="1:6" ht="34">
      <c r="A19" s="33"/>
      <c r="B19" s="2" t="s">
        <v>37</v>
      </c>
      <c r="C19" s="3" t="s">
        <v>38</v>
      </c>
      <c r="D19" s="5" t="s">
        <v>25</v>
      </c>
      <c r="E19" s="15"/>
      <c r="F19" s="23"/>
    </row>
    <row r="20" spans="1:6" ht="34">
      <c r="A20" s="33"/>
      <c r="B20" s="2" t="s">
        <v>39</v>
      </c>
      <c r="C20" s="3" t="s">
        <v>40</v>
      </c>
      <c r="D20" s="5" t="s">
        <v>25</v>
      </c>
      <c r="E20" s="15"/>
      <c r="F20" s="23"/>
    </row>
    <row r="21" spans="1:6" ht="51">
      <c r="A21" s="33"/>
      <c r="B21" s="2" t="s">
        <v>41</v>
      </c>
      <c r="C21" s="3" t="s">
        <v>42</v>
      </c>
      <c r="D21" s="5" t="s">
        <v>25</v>
      </c>
      <c r="E21" s="15"/>
      <c r="F21" s="23"/>
    </row>
    <row r="22" spans="1:6" ht="34">
      <c r="A22" s="34"/>
      <c r="B22" s="2" t="s">
        <v>43</v>
      </c>
      <c r="C22" s="3" t="s">
        <v>44</v>
      </c>
      <c r="D22" s="5" t="s">
        <v>25</v>
      </c>
      <c r="E22" s="15"/>
      <c r="F22" s="23"/>
    </row>
    <row r="23" spans="1:6" ht="19">
      <c r="A23" s="32" t="s">
        <v>45</v>
      </c>
      <c r="B23" s="2" t="s">
        <v>46</v>
      </c>
      <c r="C23" s="3" t="s">
        <v>47</v>
      </c>
      <c r="D23" s="5" t="s">
        <v>25</v>
      </c>
      <c r="E23" s="15"/>
      <c r="F23" s="23"/>
    </row>
    <row r="24" spans="1:6" ht="34">
      <c r="A24" s="34"/>
      <c r="B24" s="2" t="s">
        <v>48</v>
      </c>
      <c r="C24" s="3" t="s">
        <v>49</v>
      </c>
      <c r="D24" s="5" t="s">
        <v>25</v>
      </c>
      <c r="E24" s="15"/>
      <c r="F24" s="23"/>
    </row>
    <row r="25" spans="1:6" ht="34">
      <c r="A25" s="32" t="s">
        <v>50</v>
      </c>
      <c r="B25" s="2" t="s">
        <v>51</v>
      </c>
      <c r="C25" s="3" t="s">
        <v>52</v>
      </c>
      <c r="D25" s="5" t="s">
        <v>25</v>
      </c>
      <c r="E25" s="9"/>
      <c r="F25" s="23"/>
    </row>
    <row r="26" spans="1:6" ht="323">
      <c r="A26" s="33"/>
      <c r="B26" s="2" t="s">
        <v>53</v>
      </c>
      <c r="C26" s="3" t="s">
        <v>54</v>
      </c>
      <c r="D26" s="5" t="s">
        <v>28</v>
      </c>
      <c r="E26" s="9" t="s">
        <v>55</v>
      </c>
      <c r="F26" s="25" t="s">
        <v>30</v>
      </c>
    </row>
    <row r="27" spans="1:6" ht="356">
      <c r="A27" s="34"/>
      <c r="B27" s="2" t="s">
        <v>56</v>
      </c>
      <c r="C27" s="3" t="s">
        <v>57</v>
      </c>
      <c r="D27" s="5" t="s">
        <v>28</v>
      </c>
      <c r="E27" s="9" t="s">
        <v>58</v>
      </c>
      <c r="F27" s="25" t="s">
        <v>30</v>
      </c>
    </row>
    <row r="28" spans="1:6" ht="34">
      <c r="A28" s="32" t="s">
        <v>59</v>
      </c>
      <c r="B28" s="2" t="s">
        <v>60</v>
      </c>
      <c r="C28" s="3" t="s">
        <v>61</v>
      </c>
      <c r="D28" s="5" t="s">
        <v>25</v>
      </c>
      <c r="E28" s="15"/>
      <c r="F28" s="23"/>
    </row>
    <row r="29" spans="1:6" ht="51">
      <c r="A29" s="33"/>
      <c r="B29" s="2" t="s">
        <v>62</v>
      </c>
      <c r="C29" s="3" t="s">
        <v>63</v>
      </c>
      <c r="D29" s="5" t="s">
        <v>25</v>
      </c>
      <c r="E29" s="15"/>
      <c r="F29" s="23"/>
    </row>
    <row r="30" spans="1:6" ht="34">
      <c r="A30" s="33"/>
      <c r="B30" s="2" t="s">
        <v>64</v>
      </c>
      <c r="C30" s="3" t="s">
        <v>65</v>
      </c>
      <c r="D30" s="5" t="s">
        <v>25</v>
      </c>
      <c r="E30" s="15"/>
      <c r="F30" s="23"/>
    </row>
    <row r="31" spans="1:6" ht="34">
      <c r="A31" s="33"/>
      <c r="B31" s="2" t="s">
        <v>66</v>
      </c>
      <c r="C31" s="3" t="s">
        <v>67</v>
      </c>
      <c r="D31" s="5" t="s">
        <v>25</v>
      </c>
      <c r="E31" s="15"/>
      <c r="F31" s="23"/>
    </row>
    <row r="32" spans="1:6" ht="34">
      <c r="A32" s="33"/>
      <c r="B32" s="2" t="s">
        <v>68</v>
      </c>
      <c r="C32" s="3" t="s">
        <v>69</v>
      </c>
      <c r="D32" s="5" t="s">
        <v>25</v>
      </c>
      <c r="E32" s="15"/>
      <c r="F32" s="23"/>
    </row>
    <row r="33" spans="1:6" ht="34">
      <c r="A33" s="33"/>
      <c r="B33" s="2" t="s">
        <v>70</v>
      </c>
      <c r="C33" s="3" t="s">
        <v>71</v>
      </c>
      <c r="D33" s="5" t="s">
        <v>25</v>
      </c>
      <c r="E33" s="15"/>
      <c r="F33" s="23"/>
    </row>
    <row r="34" spans="1:6" ht="34">
      <c r="A34" s="33"/>
      <c r="B34" s="2" t="s">
        <v>72</v>
      </c>
      <c r="C34" s="3" t="s">
        <v>73</v>
      </c>
      <c r="D34" s="5" t="s">
        <v>25</v>
      </c>
      <c r="E34" s="15"/>
      <c r="F34" s="23"/>
    </row>
    <row r="35" spans="1:6" ht="34">
      <c r="A35" s="33"/>
      <c r="B35" s="2" t="s">
        <v>74</v>
      </c>
      <c r="C35" s="3" t="s">
        <v>75</v>
      </c>
      <c r="D35" s="5" t="s">
        <v>25</v>
      </c>
      <c r="E35" s="15"/>
      <c r="F35" s="23"/>
    </row>
    <row r="36" spans="1:6" ht="34">
      <c r="A36" s="33"/>
      <c r="B36" s="2" t="s">
        <v>76</v>
      </c>
      <c r="C36" s="3" t="s">
        <v>77</v>
      </c>
      <c r="D36" s="5" t="s">
        <v>25</v>
      </c>
      <c r="E36" s="15"/>
      <c r="F36" s="23"/>
    </row>
    <row r="37" spans="1:6" ht="34">
      <c r="A37" s="33"/>
      <c r="B37" s="2" t="s">
        <v>78</v>
      </c>
      <c r="C37" s="3" t="s">
        <v>79</v>
      </c>
      <c r="D37" s="5" t="s">
        <v>25</v>
      </c>
      <c r="E37" s="15"/>
      <c r="F37" s="23"/>
    </row>
    <row r="38" spans="1:6" ht="34">
      <c r="A38" s="33"/>
      <c r="B38" s="2" t="s">
        <v>80</v>
      </c>
      <c r="C38" s="3" t="s">
        <v>81</v>
      </c>
      <c r="D38" s="5" t="s">
        <v>25</v>
      </c>
      <c r="E38" s="15"/>
      <c r="F38" s="23"/>
    </row>
    <row r="39" spans="1:6" ht="34">
      <c r="A39" s="33"/>
      <c r="B39" s="2" t="s">
        <v>82</v>
      </c>
      <c r="C39" s="3" t="s">
        <v>83</v>
      </c>
      <c r="D39" s="5" t="s">
        <v>25</v>
      </c>
      <c r="E39" s="15"/>
      <c r="F39" s="23"/>
    </row>
    <row r="40" spans="1:6" ht="34">
      <c r="A40" s="34"/>
      <c r="B40" s="2" t="s">
        <v>84</v>
      </c>
      <c r="C40" s="3" t="s">
        <v>85</v>
      </c>
      <c r="D40" s="5" t="s">
        <v>25</v>
      </c>
      <c r="E40" s="15"/>
      <c r="F40" s="23"/>
    </row>
    <row r="41" spans="1:6" ht="19">
      <c r="A41" s="32" t="s">
        <v>86</v>
      </c>
      <c r="B41" s="2" t="s">
        <v>87</v>
      </c>
      <c r="C41" s="3" t="s">
        <v>88</v>
      </c>
      <c r="D41" s="5" t="s">
        <v>25</v>
      </c>
      <c r="E41" s="15"/>
      <c r="F41" s="23"/>
    </row>
    <row r="42" spans="1:6" ht="34">
      <c r="A42" s="33"/>
      <c r="B42" s="2" t="s">
        <v>89</v>
      </c>
      <c r="C42" s="3" t="s">
        <v>90</v>
      </c>
      <c r="D42" s="5" t="s">
        <v>25</v>
      </c>
      <c r="E42" s="15"/>
      <c r="F42" s="23"/>
    </row>
    <row r="43" spans="1:6" ht="34">
      <c r="A43" s="33"/>
      <c r="B43" s="2" t="s">
        <v>91</v>
      </c>
      <c r="C43" s="3" t="s">
        <v>92</v>
      </c>
      <c r="D43" s="5" t="s">
        <v>25</v>
      </c>
      <c r="E43" s="15"/>
      <c r="F43" s="23"/>
    </row>
    <row r="44" spans="1:6" ht="34">
      <c r="A44" s="33"/>
      <c r="B44" s="2" t="s">
        <v>93</v>
      </c>
      <c r="C44" s="3" t="s">
        <v>94</v>
      </c>
      <c r="D44" s="5" t="s">
        <v>25</v>
      </c>
      <c r="E44" s="15"/>
      <c r="F44" s="23"/>
    </row>
    <row r="45" spans="1:6" ht="19">
      <c r="A45" s="33"/>
      <c r="B45" s="2" t="s">
        <v>95</v>
      </c>
      <c r="C45" s="3" t="s">
        <v>96</v>
      </c>
      <c r="D45" s="5" t="s">
        <v>25</v>
      </c>
      <c r="E45" s="15"/>
      <c r="F45" s="23"/>
    </row>
    <row r="46" spans="1:6" ht="34">
      <c r="A46" s="33"/>
      <c r="B46" s="2" t="s">
        <v>97</v>
      </c>
      <c r="C46" s="3" t="s">
        <v>98</v>
      </c>
      <c r="D46" s="5" t="s">
        <v>25</v>
      </c>
      <c r="E46" s="15"/>
      <c r="F46" s="23"/>
    </row>
    <row r="47" spans="1:6" ht="51">
      <c r="A47" s="33"/>
      <c r="B47" s="2" t="s">
        <v>99</v>
      </c>
      <c r="C47" s="3" t="s">
        <v>100</v>
      </c>
      <c r="D47" s="5" t="s">
        <v>25</v>
      </c>
      <c r="E47" s="15"/>
      <c r="F47" s="23"/>
    </row>
    <row r="48" spans="1:6" ht="34">
      <c r="A48" s="34"/>
      <c r="B48" s="2" t="s">
        <v>101</v>
      </c>
      <c r="C48" s="3" t="s">
        <v>102</v>
      </c>
      <c r="D48" s="5" t="s">
        <v>25</v>
      </c>
      <c r="E48" s="15"/>
      <c r="F48" s="23"/>
    </row>
    <row r="49" spans="1:6" ht="19">
      <c r="A49" s="32" t="s">
        <v>103</v>
      </c>
      <c r="B49" s="2" t="s">
        <v>104</v>
      </c>
      <c r="C49" s="3" t="s">
        <v>105</v>
      </c>
      <c r="D49" s="5" t="s">
        <v>25</v>
      </c>
      <c r="E49" s="15"/>
      <c r="F49" s="23"/>
    </row>
    <row r="50" spans="1:6" ht="19">
      <c r="A50" s="34"/>
      <c r="B50" s="2" t="s">
        <v>106</v>
      </c>
      <c r="C50" s="3" t="s">
        <v>107</v>
      </c>
      <c r="D50" s="5" t="s">
        <v>25</v>
      </c>
      <c r="E50" s="15"/>
      <c r="F50" s="23"/>
    </row>
    <row r="51" spans="1:6" ht="170">
      <c r="A51" s="32" t="s">
        <v>108</v>
      </c>
      <c r="B51" s="2" t="s">
        <v>109</v>
      </c>
      <c r="C51" s="3" t="s">
        <v>110</v>
      </c>
      <c r="D51" s="5" t="s">
        <v>28</v>
      </c>
      <c r="E51" s="9" t="s">
        <v>111</v>
      </c>
      <c r="F51" s="25" t="s">
        <v>30</v>
      </c>
    </row>
    <row r="52" spans="1:6" ht="34">
      <c r="A52" s="33"/>
      <c r="B52" s="2" t="s">
        <v>112</v>
      </c>
      <c r="C52" s="3" t="s">
        <v>113</v>
      </c>
      <c r="D52" s="5" t="s">
        <v>25</v>
      </c>
      <c r="E52" s="15"/>
      <c r="F52" s="23"/>
    </row>
    <row r="53" spans="1:6" ht="34">
      <c r="A53" s="33"/>
      <c r="B53" s="2" t="s">
        <v>114</v>
      </c>
      <c r="C53" s="3" t="s">
        <v>115</v>
      </c>
      <c r="D53" s="5" t="s">
        <v>116</v>
      </c>
      <c r="E53" s="15" t="s">
        <v>117</v>
      </c>
      <c r="F53" s="23"/>
    </row>
    <row r="54" spans="1:6" ht="34">
      <c r="A54" s="33"/>
      <c r="B54" s="2" t="s">
        <v>118</v>
      </c>
      <c r="C54" s="3" t="s">
        <v>119</v>
      </c>
      <c r="D54" s="5" t="s">
        <v>25</v>
      </c>
      <c r="E54" s="15"/>
      <c r="F54" s="23"/>
    </row>
    <row r="55" spans="1:6" ht="51">
      <c r="A55" s="34"/>
      <c r="B55" s="2" t="s">
        <v>120</v>
      </c>
      <c r="C55" s="3" t="s">
        <v>121</v>
      </c>
      <c r="D55" s="5" t="s">
        <v>28</v>
      </c>
      <c r="E55" s="9" t="s">
        <v>122</v>
      </c>
      <c r="F55" s="25" t="s">
        <v>30</v>
      </c>
    </row>
    <row r="56" spans="1:6" ht="19">
      <c r="A56" s="32" t="s">
        <v>123</v>
      </c>
      <c r="B56" s="2" t="s">
        <v>124</v>
      </c>
      <c r="C56" s="3" t="s">
        <v>125</v>
      </c>
      <c r="D56" s="5" t="s">
        <v>25</v>
      </c>
      <c r="E56" s="15"/>
      <c r="F56" s="23"/>
    </row>
    <row r="57" spans="1:6" ht="68">
      <c r="A57" s="33"/>
      <c r="B57" s="2" t="s">
        <v>126</v>
      </c>
      <c r="C57" s="3" t="s">
        <v>127</v>
      </c>
      <c r="D57" s="5" t="s">
        <v>28</v>
      </c>
      <c r="E57" s="9" t="s">
        <v>128</v>
      </c>
      <c r="F57" s="25" t="s">
        <v>30</v>
      </c>
    </row>
    <row r="58" spans="1:6" ht="19">
      <c r="A58" s="33"/>
      <c r="B58" s="2" t="s">
        <v>129</v>
      </c>
      <c r="C58" s="3" t="s">
        <v>130</v>
      </c>
      <c r="D58" s="5" t="s">
        <v>25</v>
      </c>
      <c r="E58" s="15"/>
      <c r="F58" s="23"/>
    </row>
    <row r="59" spans="1:6" ht="34">
      <c r="A59" s="33"/>
      <c r="B59" s="2" t="s">
        <v>131</v>
      </c>
      <c r="C59" s="3" t="s">
        <v>132</v>
      </c>
      <c r="D59" s="5" t="s">
        <v>25</v>
      </c>
      <c r="E59" s="15"/>
      <c r="F59" s="23"/>
    </row>
    <row r="60" spans="1:6" ht="19">
      <c r="A60" s="33"/>
      <c r="B60" s="2" t="s">
        <v>133</v>
      </c>
      <c r="C60" s="3" t="s">
        <v>134</v>
      </c>
      <c r="D60" s="5" t="s">
        <v>25</v>
      </c>
      <c r="E60" s="15"/>
      <c r="F60" s="23"/>
    </row>
    <row r="61" spans="1:6" ht="19">
      <c r="A61" s="33"/>
      <c r="B61" s="2" t="s">
        <v>135</v>
      </c>
      <c r="C61" s="3" t="s">
        <v>136</v>
      </c>
      <c r="D61" s="5" t="s">
        <v>25</v>
      </c>
      <c r="E61" s="15"/>
      <c r="F61" s="23"/>
    </row>
    <row r="62" spans="1:6" ht="34">
      <c r="A62" s="33"/>
      <c r="B62" s="2" t="s">
        <v>137</v>
      </c>
      <c r="C62" s="3" t="s">
        <v>138</v>
      </c>
      <c r="D62" s="5" t="s">
        <v>25</v>
      </c>
      <c r="E62" s="15"/>
      <c r="F62" s="23"/>
    </row>
    <row r="63" spans="1:6" ht="34">
      <c r="A63" s="33"/>
      <c r="B63" s="2" t="s">
        <v>139</v>
      </c>
      <c r="C63" s="3" t="s">
        <v>140</v>
      </c>
      <c r="D63" s="5" t="s">
        <v>25</v>
      </c>
      <c r="E63" s="15"/>
      <c r="F63" s="23"/>
    </row>
    <row r="64" spans="1:6" ht="34">
      <c r="A64" s="33"/>
      <c r="B64" s="2" t="s">
        <v>141</v>
      </c>
      <c r="C64" s="3" t="s">
        <v>142</v>
      </c>
      <c r="D64" s="5" t="s">
        <v>25</v>
      </c>
      <c r="E64" s="15"/>
      <c r="F64" s="23"/>
    </row>
    <row r="65" spans="1:6" ht="34">
      <c r="A65" s="34"/>
      <c r="B65" s="2" t="s">
        <v>143</v>
      </c>
      <c r="C65" s="3" t="s">
        <v>144</v>
      </c>
      <c r="D65" s="5" t="s">
        <v>25</v>
      </c>
      <c r="E65" s="15"/>
      <c r="F65" s="23"/>
    </row>
    <row r="66" spans="1:6" ht="34">
      <c r="A66" s="32" t="s">
        <v>145</v>
      </c>
      <c r="B66" s="2" t="s">
        <v>146</v>
      </c>
      <c r="C66" s="3" t="s">
        <v>147</v>
      </c>
      <c r="D66" s="5" t="s">
        <v>25</v>
      </c>
      <c r="E66" s="15"/>
      <c r="F66" s="23"/>
    </row>
    <row r="67" spans="1:6" ht="34">
      <c r="A67" s="33"/>
      <c r="B67" s="2" t="s">
        <v>148</v>
      </c>
      <c r="C67" s="3" t="s">
        <v>149</v>
      </c>
      <c r="D67" s="5" t="s">
        <v>25</v>
      </c>
      <c r="E67" s="15"/>
      <c r="F67" s="23"/>
    </row>
    <row r="68" spans="1:6" ht="19">
      <c r="A68" s="33"/>
      <c r="B68" s="2" t="s">
        <v>150</v>
      </c>
      <c r="C68" s="3" t="s">
        <v>151</v>
      </c>
      <c r="D68" s="5" t="s">
        <v>25</v>
      </c>
      <c r="E68" s="15"/>
      <c r="F68" s="23"/>
    </row>
    <row r="69" spans="1:6" ht="34">
      <c r="A69" s="34"/>
      <c r="B69" s="2" t="s">
        <v>152</v>
      </c>
      <c r="C69" s="3" t="s">
        <v>153</v>
      </c>
      <c r="D69" s="5" t="s">
        <v>25</v>
      </c>
      <c r="E69" s="15"/>
      <c r="F69" s="23"/>
    </row>
    <row r="70" spans="1:6" ht="85">
      <c r="A70" s="32" t="s">
        <v>154</v>
      </c>
      <c r="B70" s="2" t="s">
        <v>155</v>
      </c>
      <c r="C70" s="3" t="s">
        <v>156</v>
      </c>
      <c r="D70" s="5" t="s">
        <v>28</v>
      </c>
      <c r="E70" s="9" t="s">
        <v>157</v>
      </c>
      <c r="F70" s="25" t="s">
        <v>30</v>
      </c>
    </row>
    <row r="71" spans="1:6" ht="34">
      <c r="A71" s="33"/>
      <c r="B71" s="2" t="s">
        <v>158</v>
      </c>
      <c r="C71" s="3" t="s">
        <v>159</v>
      </c>
      <c r="D71" s="5" t="s">
        <v>116</v>
      </c>
      <c r="E71" s="15" t="s">
        <v>160</v>
      </c>
      <c r="F71" s="23"/>
    </row>
    <row r="72" spans="1:6" ht="34">
      <c r="A72" s="33"/>
      <c r="B72" s="2" t="s">
        <v>161</v>
      </c>
      <c r="C72" s="3" t="s">
        <v>162</v>
      </c>
      <c r="D72" s="5" t="s">
        <v>116</v>
      </c>
      <c r="E72" s="9" t="s">
        <v>163</v>
      </c>
      <c r="F72" s="23"/>
    </row>
    <row r="73" spans="1:6" ht="51">
      <c r="A73" s="33"/>
      <c r="B73" s="2" t="s">
        <v>164</v>
      </c>
      <c r="C73" s="3" t="s">
        <v>165</v>
      </c>
      <c r="D73" s="5" t="s">
        <v>116</v>
      </c>
      <c r="E73" s="15" t="s">
        <v>166</v>
      </c>
      <c r="F73" s="23"/>
    </row>
    <row r="74" spans="1:6" ht="34">
      <c r="A74" s="33"/>
      <c r="B74" s="2" t="s">
        <v>167</v>
      </c>
      <c r="C74" s="3" t="s">
        <v>168</v>
      </c>
      <c r="D74" s="5" t="s">
        <v>25</v>
      </c>
      <c r="E74" s="9" t="s">
        <v>169</v>
      </c>
      <c r="F74" s="23"/>
    </row>
    <row r="75" spans="1:6" ht="34">
      <c r="A75" s="33"/>
      <c r="B75" s="2" t="s">
        <v>170</v>
      </c>
      <c r="C75" s="3" t="s">
        <v>171</v>
      </c>
      <c r="D75" s="5" t="s">
        <v>25</v>
      </c>
      <c r="E75" s="15"/>
      <c r="F75" s="23"/>
    </row>
    <row r="76" spans="1:6" ht="34">
      <c r="A76" s="33"/>
      <c r="B76" s="2" t="s">
        <v>172</v>
      </c>
      <c r="C76" s="3" t="s">
        <v>173</v>
      </c>
      <c r="D76" s="5" t="s">
        <v>28</v>
      </c>
      <c r="E76" s="9" t="s">
        <v>174</v>
      </c>
      <c r="F76" s="25" t="s">
        <v>30</v>
      </c>
    </row>
    <row r="77" spans="1:6" ht="34">
      <c r="A77" s="33"/>
      <c r="B77" s="2" t="s">
        <v>175</v>
      </c>
      <c r="C77" s="3" t="s">
        <v>176</v>
      </c>
      <c r="D77" s="5" t="s">
        <v>25</v>
      </c>
      <c r="E77" s="15"/>
      <c r="F77" s="23"/>
    </row>
    <row r="78" spans="1:6" ht="51">
      <c r="A78" s="33"/>
      <c r="B78" s="2" t="s">
        <v>177</v>
      </c>
      <c r="C78" s="3" t="s">
        <v>178</v>
      </c>
      <c r="D78" s="5" t="s">
        <v>25</v>
      </c>
      <c r="E78" s="15"/>
      <c r="F78" s="23"/>
    </row>
    <row r="79" spans="1:6" ht="51">
      <c r="A79" s="33"/>
      <c r="B79" s="2" t="s">
        <v>179</v>
      </c>
      <c r="C79" s="3" t="s">
        <v>180</v>
      </c>
      <c r="D79" s="5" t="s">
        <v>25</v>
      </c>
      <c r="E79" s="15"/>
      <c r="F79" s="23"/>
    </row>
    <row r="80" spans="1:6" ht="85">
      <c r="A80" s="33"/>
      <c r="B80" s="2" t="s">
        <v>181</v>
      </c>
      <c r="C80" s="3" t="s">
        <v>182</v>
      </c>
      <c r="D80" s="5" t="s">
        <v>116</v>
      </c>
      <c r="E80" s="9" t="s">
        <v>183</v>
      </c>
      <c r="F80" s="23"/>
    </row>
    <row r="81" spans="1:6" ht="119">
      <c r="A81" s="33"/>
      <c r="B81" s="2" t="s">
        <v>184</v>
      </c>
      <c r="C81" s="3" t="s">
        <v>185</v>
      </c>
      <c r="D81" s="5" t="s">
        <v>116</v>
      </c>
      <c r="E81" s="9" t="s">
        <v>186</v>
      </c>
      <c r="F81" s="23"/>
    </row>
    <row r="82" spans="1:6" ht="51">
      <c r="A82" s="33"/>
      <c r="B82" s="2" t="s">
        <v>187</v>
      </c>
      <c r="C82" s="3" t="s">
        <v>188</v>
      </c>
      <c r="D82" s="5" t="s">
        <v>25</v>
      </c>
      <c r="E82" s="15"/>
      <c r="F82" s="23"/>
    </row>
    <row r="83" spans="1:6" ht="51">
      <c r="A83" s="34"/>
      <c r="B83" s="2" t="s">
        <v>189</v>
      </c>
      <c r="C83" s="3" t="s">
        <v>190</v>
      </c>
      <c r="D83" s="5" t="s">
        <v>25</v>
      </c>
      <c r="E83" s="15"/>
      <c r="F83" s="23"/>
    </row>
    <row r="84" spans="1:6" ht="19">
      <c r="A84" s="32" t="s">
        <v>191</v>
      </c>
      <c r="B84" s="2" t="s">
        <v>192</v>
      </c>
      <c r="C84" s="3" t="s">
        <v>193</v>
      </c>
      <c r="D84" s="5" t="s">
        <v>116</v>
      </c>
      <c r="E84" s="15" t="s">
        <v>194</v>
      </c>
      <c r="F84" s="23"/>
    </row>
    <row r="85" spans="1:6" ht="34">
      <c r="A85" s="33"/>
      <c r="B85" s="2" t="s">
        <v>195</v>
      </c>
      <c r="C85" s="3" t="s">
        <v>196</v>
      </c>
      <c r="D85" s="5" t="s">
        <v>25</v>
      </c>
      <c r="E85" s="15" t="s">
        <v>197</v>
      </c>
      <c r="F85" s="23"/>
    </row>
    <row r="86" spans="1:6" ht="51">
      <c r="A86" s="33"/>
      <c r="B86" s="2" t="s">
        <v>198</v>
      </c>
      <c r="C86" s="3" t="s">
        <v>199</v>
      </c>
      <c r="D86" s="5" t="s">
        <v>25</v>
      </c>
      <c r="E86" s="15"/>
      <c r="F86" s="23"/>
    </row>
    <row r="87" spans="1:6" ht="51">
      <c r="A87" s="33"/>
      <c r="B87" s="2" t="s">
        <v>200</v>
      </c>
      <c r="C87" s="3" t="s">
        <v>201</v>
      </c>
      <c r="D87" s="5" t="s">
        <v>116</v>
      </c>
      <c r="E87" s="9" t="s">
        <v>202</v>
      </c>
      <c r="F87" s="23"/>
    </row>
    <row r="88" spans="1:6" ht="34">
      <c r="A88" s="33"/>
      <c r="B88" s="2" t="s">
        <v>203</v>
      </c>
      <c r="C88" s="3" t="s">
        <v>204</v>
      </c>
      <c r="D88" s="5" t="s">
        <v>25</v>
      </c>
      <c r="E88" s="15"/>
      <c r="F88" s="23"/>
    </row>
    <row r="89" spans="1:6" ht="34">
      <c r="A89" s="33"/>
      <c r="B89" s="2" t="s">
        <v>205</v>
      </c>
      <c r="C89" s="3" t="s">
        <v>206</v>
      </c>
      <c r="D89" s="5" t="s">
        <v>25</v>
      </c>
      <c r="E89" s="15"/>
      <c r="F89" s="23"/>
    </row>
    <row r="90" spans="1:6" ht="34">
      <c r="A90" s="33"/>
      <c r="B90" s="2" t="s">
        <v>207</v>
      </c>
      <c r="C90" s="3" t="s">
        <v>208</v>
      </c>
      <c r="D90" s="5" t="s">
        <v>25</v>
      </c>
      <c r="E90" s="15"/>
      <c r="F90" s="23"/>
    </row>
    <row r="91" spans="1:6" ht="34">
      <c r="A91" s="33"/>
      <c r="B91" s="2" t="s">
        <v>209</v>
      </c>
      <c r="C91" s="3" t="s">
        <v>210</v>
      </c>
      <c r="D91" s="5" t="s">
        <v>25</v>
      </c>
      <c r="E91" s="15"/>
      <c r="F91" s="23"/>
    </row>
    <row r="92" spans="1:6" ht="34">
      <c r="A92" s="33"/>
      <c r="B92" s="2" t="s">
        <v>211</v>
      </c>
      <c r="C92" s="3" t="s">
        <v>212</v>
      </c>
      <c r="D92" s="5" t="s">
        <v>25</v>
      </c>
      <c r="E92" s="15"/>
      <c r="F92" s="23"/>
    </row>
    <row r="93" spans="1:6" ht="255">
      <c r="A93" s="33"/>
      <c r="B93" s="2" t="s">
        <v>213</v>
      </c>
      <c r="C93" s="3" t="s">
        <v>214</v>
      </c>
      <c r="D93" s="5" t="s">
        <v>28</v>
      </c>
      <c r="E93" s="9" t="s">
        <v>215</v>
      </c>
      <c r="F93" s="26" t="s">
        <v>30</v>
      </c>
    </row>
    <row r="94" spans="1:6" ht="34">
      <c r="A94" s="33"/>
      <c r="B94" s="2" t="s">
        <v>216</v>
      </c>
      <c r="C94" s="3" t="s">
        <v>217</v>
      </c>
      <c r="D94" s="5" t="s">
        <v>28</v>
      </c>
      <c r="E94" s="9" t="s">
        <v>218</v>
      </c>
      <c r="F94" s="27" t="s">
        <v>30</v>
      </c>
    </row>
    <row r="95" spans="1:6" ht="85">
      <c r="A95" s="33"/>
      <c r="B95" s="2" t="s">
        <v>219</v>
      </c>
      <c r="C95" s="3" t="s">
        <v>220</v>
      </c>
      <c r="D95" s="5" t="s">
        <v>25</v>
      </c>
      <c r="E95" s="15"/>
      <c r="F95" s="24"/>
    </row>
    <row r="96" spans="1:6" ht="255">
      <c r="A96" s="34"/>
      <c r="B96" s="2" t="s">
        <v>221</v>
      </c>
      <c r="C96" s="3" t="s">
        <v>222</v>
      </c>
      <c r="D96" s="5" t="s">
        <v>28</v>
      </c>
      <c r="E96" s="9" t="s">
        <v>223</v>
      </c>
      <c r="F96" s="25" t="s">
        <v>224</v>
      </c>
    </row>
    <row r="97" spans="1:6" ht="34">
      <c r="A97" s="32" t="s">
        <v>225</v>
      </c>
      <c r="B97" s="2" t="s">
        <v>226</v>
      </c>
      <c r="C97" s="3" t="s">
        <v>227</v>
      </c>
      <c r="D97" s="5" t="s">
        <v>25</v>
      </c>
      <c r="E97" s="15"/>
      <c r="F97" s="23"/>
    </row>
    <row r="98" spans="1:6" ht="34">
      <c r="A98" s="33"/>
      <c r="B98" s="2" t="s">
        <v>228</v>
      </c>
      <c r="C98" s="3" t="s">
        <v>229</v>
      </c>
      <c r="D98" s="5" t="s">
        <v>25</v>
      </c>
      <c r="E98" s="15"/>
      <c r="F98" s="23"/>
    </row>
    <row r="99" spans="1:6" ht="19">
      <c r="A99" s="33"/>
      <c r="B99" s="2" t="s">
        <v>230</v>
      </c>
      <c r="C99" s="3" t="s">
        <v>231</v>
      </c>
      <c r="D99" s="5" t="s">
        <v>25</v>
      </c>
      <c r="E99" s="15"/>
      <c r="F99" s="23"/>
    </row>
    <row r="100" spans="1:6" ht="34">
      <c r="A100" s="33"/>
      <c r="B100" s="2" t="s">
        <v>232</v>
      </c>
      <c r="C100" s="3" t="s">
        <v>233</v>
      </c>
      <c r="D100" s="5" t="s">
        <v>25</v>
      </c>
      <c r="E100" s="15"/>
      <c r="F100" s="23"/>
    </row>
    <row r="101" spans="1:6" ht="34">
      <c r="A101" s="33"/>
      <c r="B101" s="2" t="s">
        <v>234</v>
      </c>
      <c r="C101" s="3" t="s">
        <v>235</v>
      </c>
      <c r="D101" s="5" t="s">
        <v>25</v>
      </c>
      <c r="E101" s="15"/>
      <c r="F101" s="23"/>
    </row>
    <row r="102" spans="1:6" ht="68">
      <c r="A102" s="33"/>
      <c r="B102" s="2" t="s">
        <v>236</v>
      </c>
      <c r="C102" s="3" t="s">
        <v>237</v>
      </c>
      <c r="D102" s="5" t="s">
        <v>25</v>
      </c>
      <c r="E102" s="15"/>
      <c r="F102" s="23"/>
    </row>
    <row r="103" spans="1:6" ht="34">
      <c r="A103" s="33"/>
      <c r="B103" s="2" t="s">
        <v>238</v>
      </c>
      <c r="C103" s="3" t="s">
        <v>239</v>
      </c>
      <c r="D103" s="5" t="s">
        <v>25</v>
      </c>
      <c r="E103" s="15"/>
      <c r="F103" s="23"/>
    </row>
    <row r="104" spans="1:6" ht="19">
      <c r="A104" s="33"/>
      <c r="B104" s="2" t="s">
        <v>240</v>
      </c>
      <c r="C104" s="3" t="s">
        <v>241</v>
      </c>
      <c r="D104" s="5" t="s">
        <v>25</v>
      </c>
      <c r="E104" s="15"/>
      <c r="F104" s="23"/>
    </row>
    <row r="105" spans="1:6" ht="34">
      <c r="A105" s="33"/>
      <c r="B105" s="2" t="s">
        <v>242</v>
      </c>
      <c r="C105" s="3" t="s">
        <v>243</v>
      </c>
      <c r="D105" s="5" t="s">
        <v>116</v>
      </c>
      <c r="E105" s="15" t="s">
        <v>244</v>
      </c>
      <c r="F105" s="23"/>
    </row>
    <row r="106" spans="1:6" ht="51">
      <c r="A106" s="33"/>
      <c r="B106" s="2" t="s">
        <v>245</v>
      </c>
      <c r="C106" s="3" t="s">
        <v>246</v>
      </c>
      <c r="D106" s="5" t="s">
        <v>25</v>
      </c>
      <c r="E106" s="15"/>
      <c r="F106" s="23"/>
    </row>
    <row r="107" spans="1:6" ht="51">
      <c r="A107" s="34"/>
      <c r="B107" s="2" t="s">
        <v>247</v>
      </c>
      <c r="C107" s="3" t="s">
        <v>248</v>
      </c>
      <c r="D107" s="5" t="s">
        <v>25</v>
      </c>
      <c r="E107" s="15"/>
      <c r="F107" s="23"/>
    </row>
    <row r="108" spans="1:6" ht="34">
      <c r="A108" s="32" t="s">
        <v>249</v>
      </c>
      <c r="B108" s="2" t="s">
        <v>250</v>
      </c>
      <c r="C108" s="3" t="s">
        <v>251</v>
      </c>
      <c r="D108" s="5" t="s">
        <v>25</v>
      </c>
      <c r="E108" s="15"/>
      <c r="F108" s="23"/>
    </row>
    <row r="109" spans="1:6" ht="51">
      <c r="A109" s="33"/>
      <c r="B109" s="2" t="s">
        <v>252</v>
      </c>
      <c r="C109" s="3" t="s">
        <v>253</v>
      </c>
      <c r="D109" s="5" t="s">
        <v>25</v>
      </c>
      <c r="E109" s="15"/>
      <c r="F109" s="23"/>
    </row>
    <row r="110" spans="1:6" ht="51">
      <c r="A110" s="33"/>
      <c r="B110" s="2" t="s">
        <v>254</v>
      </c>
      <c r="C110" s="3" t="s">
        <v>255</v>
      </c>
      <c r="D110" s="5" t="s">
        <v>25</v>
      </c>
      <c r="E110" s="15"/>
      <c r="F110" s="23"/>
    </row>
    <row r="111" spans="1:6" ht="34">
      <c r="A111" s="33"/>
      <c r="B111" s="2" t="s">
        <v>256</v>
      </c>
      <c r="C111" s="3" t="s">
        <v>257</v>
      </c>
      <c r="D111" s="5" t="s">
        <v>25</v>
      </c>
      <c r="E111" s="15"/>
      <c r="F111" s="23"/>
    </row>
    <row r="112" spans="1:6" ht="34">
      <c r="A112" s="33"/>
      <c r="B112" s="2" t="s">
        <v>258</v>
      </c>
      <c r="C112" s="3" t="s">
        <v>259</v>
      </c>
      <c r="D112" s="5" t="s">
        <v>25</v>
      </c>
      <c r="E112" s="15"/>
      <c r="F112" s="23"/>
    </row>
    <row r="113" spans="1:6" ht="51">
      <c r="A113" s="33"/>
      <c r="B113" s="2" t="s">
        <v>260</v>
      </c>
      <c r="C113" s="3" t="s">
        <v>261</v>
      </c>
      <c r="D113" s="5" t="s">
        <v>25</v>
      </c>
      <c r="E113" s="15"/>
      <c r="F113" s="23"/>
    </row>
    <row r="114" spans="1:6" ht="34">
      <c r="A114" s="33"/>
      <c r="B114" s="2" t="s">
        <v>262</v>
      </c>
      <c r="C114" s="3" t="s">
        <v>263</v>
      </c>
      <c r="D114" s="5" t="s">
        <v>25</v>
      </c>
      <c r="E114" s="15"/>
      <c r="F114" s="23"/>
    </row>
    <row r="115" spans="1:6" ht="34">
      <c r="A115" s="33"/>
      <c r="B115" s="2" t="s">
        <v>264</v>
      </c>
      <c r="C115" s="3" t="s">
        <v>265</v>
      </c>
      <c r="D115" s="5" t="s">
        <v>25</v>
      </c>
      <c r="E115" s="15"/>
      <c r="F115" s="23"/>
    </row>
    <row r="116" spans="1:6" ht="34">
      <c r="A116" s="33"/>
      <c r="B116" s="2" t="s">
        <v>266</v>
      </c>
      <c r="C116" s="3" t="s">
        <v>267</v>
      </c>
      <c r="D116" s="5" t="s">
        <v>25</v>
      </c>
      <c r="E116" s="15"/>
      <c r="F116" s="23"/>
    </row>
    <row r="117" spans="1:6" ht="51">
      <c r="A117" s="33"/>
      <c r="B117" s="2" t="s">
        <v>268</v>
      </c>
      <c r="C117" s="3" t="s">
        <v>269</v>
      </c>
      <c r="D117" s="5" t="s">
        <v>25</v>
      </c>
      <c r="E117" s="15"/>
      <c r="F117" s="23"/>
    </row>
    <row r="118" spans="1:6" ht="51">
      <c r="A118" s="33"/>
      <c r="B118" s="2" t="s">
        <v>270</v>
      </c>
      <c r="C118" s="3" t="s">
        <v>271</v>
      </c>
      <c r="D118" s="5" t="s">
        <v>25</v>
      </c>
      <c r="E118" s="15"/>
      <c r="F118" s="23"/>
    </row>
    <row r="119" spans="1:6" ht="51">
      <c r="A119" s="34"/>
      <c r="B119" s="2" t="s">
        <v>272</v>
      </c>
      <c r="C119" s="3" t="s">
        <v>273</v>
      </c>
      <c r="D119" s="5" t="s">
        <v>25</v>
      </c>
      <c r="E119" s="15"/>
      <c r="F119" s="23"/>
    </row>
    <row r="122" spans="1:6">
      <c r="A122" s="28" t="s">
        <v>274</v>
      </c>
      <c r="B122" s="28"/>
      <c r="C122" s="28"/>
      <c r="D122" s="28"/>
      <c r="E122" s="7" t="s">
        <v>275</v>
      </c>
    </row>
    <row r="123" spans="1:6" ht="52" customHeight="1">
      <c r="A123" s="29" t="s">
        <v>276</v>
      </c>
      <c r="B123" s="30"/>
      <c r="C123" s="30"/>
      <c r="D123" s="31"/>
      <c r="E123" s="8" t="s">
        <v>277</v>
      </c>
    </row>
    <row r="124" spans="1:6" ht="34">
      <c r="A124" s="29" t="s">
        <v>278</v>
      </c>
      <c r="B124" s="30"/>
      <c r="C124" s="30"/>
      <c r="D124" s="31"/>
      <c r="E124" s="8" t="s">
        <v>279</v>
      </c>
    </row>
    <row r="125" spans="1:6" ht="37" customHeight="1">
      <c r="A125" s="29" t="s">
        <v>280</v>
      </c>
      <c r="B125" s="30"/>
      <c r="C125" s="30"/>
      <c r="D125" s="31"/>
      <c r="E125" s="8" t="s">
        <v>281</v>
      </c>
    </row>
    <row r="126" spans="1:6" ht="75" customHeight="1">
      <c r="A126" s="29" t="s">
        <v>282</v>
      </c>
      <c r="B126" s="30"/>
      <c r="C126" s="30"/>
      <c r="D126" s="31"/>
      <c r="E126" s="8" t="s">
        <v>283</v>
      </c>
    </row>
    <row r="127" spans="1:6" ht="101" customHeight="1">
      <c r="A127" s="29" t="s">
        <v>284</v>
      </c>
      <c r="B127" s="30"/>
      <c r="C127" s="30"/>
      <c r="D127" s="31"/>
      <c r="E127" s="8" t="s">
        <v>285</v>
      </c>
    </row>
  </sheetData>
  <mergeCells count="30">
    <mergeCell ref="A6:C6"/>
    <mergeCell ref="A1:D1"/>
    <mergeCell ref="A2:C2"/>
    <mergeCell ref="A3:C3"/>
    <mergeCell ref="A4:C4"/>
    <mergeCell ref="A5:C5"/>
    <mergeCell ref="A51:A55"/>
    <mergeCell ref="A7:C7"/>
    <mergeCell ref="A8:C8"/>
    <mergeCell ref="A9:C9"/>
    <mergeCell ref="A10:C10"/>
    <mergeCell ref="A11:C11"/>
    <mergeCell ref="A14:A22"/>
    <mergeCell ref="A23:A24"/>
    <mergeCell ref="A25:A27"/>
    <mergeCell ref="A28:A40"/>
    <mergeCell ref="A41:A48"/>
    <mergeCell ref="A49:A50"/>
    <mergeCell ref="A127:D127"/>
    <mergeCell ref="A56:A65"/>
    <mergeCell ref="A66:A69"/>
    <mergeCell ref="A70:A83"/>
    <mergeCell ref="A84:A96"/>
    <mergeCell ref="A97:A107"/>
    <mergeCell ref="A108:A119"/>
    <mergeCell ref="A122:D122"/>
    <mergeCell ref="A123:D123"/>
    <mergeCell ref="A124:D124"/>
    <mergeCell ref="A125:D125"/>
    <mergeCell ref="A126:D126"/>
  </mergeCells>
  <conditionalFormatting sqref="D14:E119">
    <cfRule type="expression" dxfId="5" priority="1">
      <formula>$D14="Non testé"</formula>
    </cfRule>
    <cfRule type="expression" dxfId="4" priority="2">
      <formula>$D14="Conforme"</formula>
    </cfRule>
    <cfRule type="expression" dxfId="3" priority="3">
      <formula>$D14="Non conforme"</formula>
    </cfRule>
  </conditionalFormatting>
  <dataValidations count="2">
    <dataValidation type="list" allowBlank="1" showInputMessage="1" showErrorMessage="1" sqref="D14:D119" xr:uid="{3385A7A8-3AC5-7046-B4F0-1B31CE5500C7}">
      <formula1>"Conforme,Non conforme,Non applicable,Dérogé,Non testé"</formula1>
    </dataValidation>
    <dataValidation allowBlank="1" showInputMessage="1" showErrorMessage="1" prompt="Format JJ/MM/AAAA" sqref="D3" xr:uid="{A3ACFD28-EFB7-434F-AE94-7E240239510B}"/>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7"/>
  <sheetViews>
    <sheetView tabSelected="1" zoomScale="110" zoomScaleNormal="110" workbookViewId="0">
      <selection activeCell="J17" sqref="J17"/>
    </sheetView>
  </sheetViews>
  <sheetFormatPr baseColWidth="10" defaultColWidth="10.83203125" defaultRowHeight="16"/>
  <cols>
    <col min="1" max="1" width="15" style="1" customWidth="1"/>
    <col min="2" max="2" width="10.33203125" style="1" bestFit="1" customWidth="1"/>
    <col min="3" max="3" width="59.83203125" style="1" customWidth="1"/>
    <col min="4" max="4" width="17.33203125" style="1" customWidth="1"/>
    <col min="5" max="5" width="115.1640625" style="1" customWidth="1"/>
    <col min="6" max="6" width="21.1640625" style="21" customWidth="1"/>
    <col min="7" max="16384" width="10.83203125" style="1"/>
  </cols>
  <sheetData>
    <row r="1" spans="1:6" ht="32" customHeight="1">
      <c r="A1" s="42" t="s">
        <v>0</v>
      </c>
      <c r="B1" s="42"/>
      <c r="C1" s="42"/>
      <c r="D1" s="42"/>
    </row>
    <row r="2" spans="1:6" ht="19">
      <c r="A2" s="43" t="s">
        <v>1</v>
      </c>
      <c r="B2" s="43"/>
      <c r="C2" s="43"/>
      <c r="D2" s="18" t="s">
        <v>287</v>
      </c>
      <c r="E2" s="20" t="s">
        <v>299</v>
      </c>
    </row>
    <row r="3" spans="1:6" ht="19">
      <c r="A3" s="44" t="s">
        <v>4</v>
      </c>
      <c r="B3" s="44"/>
      <c r="C3" s="44"/>
      <c r="D3" s="13">
        <v>45863</v>
      </c>
      <c r="E3" s="47">
        <v>45876</v>
      </c>
    </row>
    <row r="4" spans="1:6" ht="19" customHeight="1">
      <c r="A4" s="35" t="s">
        <v>6</v>
      </c>
      <c r="B4" s="36"/>
      <c r="C4" s="37"/>
      <c r="D4" s="10" t="s">
        <v>286</v>
      </c>
      <c r="E4" s="10" t="s">
        <v>300</v>
      </c>
    </row>
    <row r="5" spans="1:6" ht="16" customHeight="1">
      <c r="A5" s="35" t="s">
        <v>9</v>
      </c>
      <c r="B5" s="36"/>
      <c r="C5" s="37"/>
      <c r="D5" s="11">
        <f xml:space="preserve"> COUNTIF($D$13:$D$118,"Conforme")</f>
        <v>14</v>
      </c>
      <c r="E5" s="11">
        <v>20</v>
      </c>
    </row>
    <row r="6" spans="1:6" ht="19" customHeight="1">
      <c r="A6" s="35" t="s">
        <v>10</v>
      </c>
      <c r="B6" s="36"/>
      <c r="C6" s="37"/>
      <c r="D6" s="11">
        <f xml:space="preserve"> COUNTIF($D$13:$D$118,"Non conforme")</f>
        <v>6</v>
      </c>
      <c r="E6" s="11">
        <v>0</v>
      </c>
    </row>
    <row r="7" spans="1:6" ht="19" customHeight="1">
      <c r="A7" s="35" t="s">
        <v>11</v>
      </c>
      <c r="B7" s="36"/>
      <c r="C7" s="37"/>
      <c r="D7" s="11">
        <f xml:space="preserve"> COUNTIF($D$13:$D$118,"Non applicable")</f>
        <v>85</v>
      </c>
      <c r="E7" s="11">
        <f xml:space="preserve"> COUNTIF($D$13:$D$118,"Non applicable")</f>
        <v>85</v>
      </c>
    </row>
    <row r="8" spans="1:6" ht="19" customHeight="1">
      <c r="A8" s="35" t="s">
        <v>12</v>
      </c>
      <c r="B8" s="36"/>
      <c r="C8" s="37"/>
      <c r="D8" s="11">
        <f xml:space="preserve"> COUNTIF($D$13:$D$118,"Dérogé")</f>
        <v>0</v>
      </c>
      <c r="E8" s="11">
        <f xml:space="preserve"> COUNTIF($D$13:$D$118,"Dérogé")</f>
        <v>0</v>
      </c>
    </row>
    <row r="9" spans="1:6" ht="19" customHeight="1">
      <c r="A9" s="35" t="s">
        <v>13</v>
      </c>
      <c r="B9" s="36"/>
      <c r="C9" s="37"/>
      <c r="D9" s="11">
        <f xml:space="preserve"> COUNTIF($D$13:$D$118,"Non testé")</f>
        <v>0</v>
      </c>
      <c r="E9" s="11">
        <f xml:space="preserve"> COUNTIF($D$13:$D$118,"Non testé")</f>
        <v>0</v>
      </c>
    </row>
    <row r="10" spans="1:6" ht="19" customHeight="1">
      <c r="A10" s="38" t="s">
        <v>14</v>
      </c>
      <c r="B10" s="39"/>
      <c r="C10" s="40"/>
      <c r="D10" s="12">
        <f>IF(SUM(D5:D6)&gt;0,D5/SUM(D5:D6),"")</f>
        <v>0.7</v>
      </c>
      <c r="E10" s="12">
        <f>IF(SUM(E5:E6)&gt;0,E5/SUM(E5:E6),"")</f>
        <v>1</v>
      </c>
    </row>
    <row r="11" spans="1:6" ht="19" customHeight="1">
      <c r="A11" s="38" t="s">
        <v>15</v>
      </c>
      <c r="B11" s="39"/>
      <c r="C11" s="40"/>
      <c r="D11" s="12">
        <f>IF(SUM(D5:D6)&gt;0,1-ROUND(D10,2),"")</f>
        <v>0.30000000000000004</v>
      </c>
      <c r="E11" s="12">
        <f>IF(SUM(E5:E6)&gt;0,1-ROUND(E10,2),"")</f>
        <v>0</v>
      </c>
    </row>
    <row r="12" spans="1:6">
      <c r="A12" s="6"/>
      <c r="B12" s="6"/>
      <c r="C12" s="6"/>
    </row>
    <row r="13" spans="1:6" ht="20">
      <c r="A13" s="4" t="s">
        <v>16</v>
      </c>
      <c r="B13" s="4" t="s">
        <v>17</v>
      </c>
      <c r="C13" s="4" t="s">
        <v>18</v>
      </c>
      <c r="D13" s="4" t="s">
        <v>19</v>
      </c>
      <c r="E13" s="14" t="s">
        <v>20</v>
      </c>
      <c r="F13" s="22" t="s">
        <v>21</v>
      </c>
    </row>
    <row r="14" spans="1:6" ht="34">
      <c r="A14" s="41" t="s">
        <v>22</v>
      </c>
      <c r="B14" s="2" t="s">
        <v>23</v>
      </c>
      <c r="C14" s="3" t="s">
        <v>24</v>
      </c>
      <c r="D14" s="5" t="s">
        <v>25</v>
      </c>
      <c r="E14" s="15"/>
      <c r="F14" s="23"/>
    </row>
    <row r="15" spans="1:6" ht="85">
      <c r="A15" s="33"/>
      <c r="B15" s="2" t="s">
        <v>26</v>
      </c>
      <c r="C15" s="3" t="s">
        <v>27</v>
      </c>
      <c r="D15" s="5" t="s">
        <v>28</v>
      </c>
      <c r="E15" s="9" t="s">
        <v>288</v>
      </c>
      <c r="F15" s="45" t="s">
        <v>296</v>
      </c>
    </row>
    <row r="16" spans="1:6" ht="34">
      <c r="A16" s="33"/>
      <c r="B16" s="2" t="s">
        <v>31</v>
      </c>
      <c r="C16" s="3" t="s">
        <v>32</v>
      </c>
      <c r="D16" s="5" t="s">
        <v>25</v>
      </c>
      <c r="E16" s="9"/>
      <c r="F16" s="23"/>
    </row>
    <row r="17" spans="1:6" ht="51">
      <c r="A17" s="33"/>
      <c r="B17" s="2" t="s">
        <v>33</v>
      </c>
      <c r="C17" s="3" t="s">
        <v>34</v>
      </c>
      <c r="D17" s="5" t="s">
        <v>25</v>
      </c>
      <c r="E17" s="15"/>
      <c r="F17" s="23"/>
    </row>
    <row r="18" spans="1:6" ht="34">
      <c r="A18" s="33"/>
      <c r="B18" s="2" t="s">
        <v>35</v>
      </c>
      <c r="C18" s="3" t="s">
        <v>36</v>
      </c>
      <c r="D18" s="5" t="s">
        <v>25</v>
      </c>
      <c r="E18" s="15"/>
      <c r="F18" s="23"/>
    </row>
    <row r="19" spans="1:6" ht="34">
      <c r="A19" s="33"/>
      <c r="B19" s="2" t="s">
        <v>37</v>
      </c>
      <c r="C19" s="3" t="s">
        <v>38</v>
      </c>
      <c r="D19" s="5" t="s">
        <v>25</v>
      </c>
      <c r="E19" s="15"/>
      <c r="F19" s="23"/>
    </row>
    <row r="20" spans="1:6" ht="34">
      <c r="A20" s="33"/>
      <c r="B20" s="2" t="s">
        <v>39</v>
      </c>
      <c r="C20" s="3" t="s">
        <v>40</v>
      </c>
      <c r="D20" s="5" t="s">
        <v>25</v>
      </c>
      <c r="E20" s="15"/>
      <c r="F20" s="23"/>
    </row>
    <row r="21" spans="1:6" ht="51">
      <c r="A21" s="33"/>
      <c r="B21" s="2" t="s">
        <v>41</v>
      </c>
      <c r="C21" s="3" t="s">
        <v>42</v>
      </c>
      <c r="D21" s="5" t="s">
        <v>25</v>
      </c>
      <c r="E21" s="15"/>
      <c r="F21" s="23"/>
    </row>
    <row r="22" spans="1:6" ht="34">
      <c r="A22" s="34"/>
      <c r="B22" s="2" t="s">
        <v>43</v>
      </c>
      <c r="C22" s="3" t="s">
        <v>44</v>
      </c>
      <c r="D22" s="5" t="s">
        <v>25</v>
      </c>
      <c r="E22" s="15"/>
      <c r="F22" s="23"/>
    </row>
    <row r="23" spans="1:6" ht="19">
      <c r="A23" s="32" t="s">
        <v>45</v>
      </c>
      <c r="B23" s="2" t="s">
        <v>46</v>
      </c>
      <c r="C23" s="3" t="s">
        <v>47</v>
      </c>
      <c r="D23" s="5" t="s">
        <v>25</v>
      </c>
      <c r="E23" s="15"/>
      <c r="F23" s="23"/>
    </row>
    <row r="24" spans="1:6" ht="34">
      <c r="A24" s="34"/>
      <c r="B24" s="2" t="s">
        <v>48</v>
      </c>
      <c r="C24" s="3" t="s">
        <v>49</v>
      </c>
      <c r="D24" s="5" t="s">
        <v>25</v>
      </c>
      <c r="E24" s="15"/>
      <c r="F24" s="23"/>
    </row>
    <row r="25" spans="1:6" ht="34">
      <c r="A25" s="32" t="s">
        <v>50</v>
      </c>
      <c r="B25" s="2" t="s">
        <v>51</v>
      </c>
      <c r="C25" s="3" t="s">
        <v>52</v>
      </c>
      <c r="D25" s="5" t="s">
        <v>25</v>
      </c>
      <c r="E25" s="9"/>
      <c r="F25" s="23"/>
    </row>
    <row r="26" spans="1:6" ht="204">
      <c r="A26" s="33"/>
      <c r="B26" s="2" t="s">
        <v>53</v>
      </c>
      <c r="C26" s="3" t="s">
        <v>54</v>
      </c>
      <c r="D26" s="5" t="s">
        <v>116</v>
      </c>
      <c r="E26" s="9" t="s">
        <v>293</v>
      </c>
      <c r="F26" s="23"/>
    </row>
    <row r="27" spans="1:6" ht="255">
      <c r="A27" s="34"/>
      <c r="B27" s="2" t="s">
        <v>56</v>
      </c>
      <c r="C27" s="3" t="s">
        <v>57</v>
      </c>
      <c r="D27" s="5" t="s">
        <v>116</v>
      </c>
      <c r="E27" s="9" t="s">
        <v>294</v>
      </c>
      <c r="F27" s="23"/>
    </row>
    <row r="28" spans="1:6" ht="34">
      <c r="A28" s="32" t="s">
        <v>59</v>
      </c>
      <c r="B28" s="2" t="s">
        <v>60</v>
      </c>
      <c r="C28" s="3" t="s">
        <v>61</v>
      </c>
      <c r="D28" s="5" t="s">
        <v>25</v>
      </c>
      <c r="E28" s="15"/>
      <c r="F28" s="23"/>
    </row>
    <row r="29" spans="1:6" ht="51">
      <c r="A29" s="33"/>
      <c r="B29" s="2" t="s">
        <v>62</v>
      </c>
      <c r="C29" s="3" t="s">
        <v>63</v>
      </c>
      <c r="D29" s="5" t="s">
        <v>25</v>
      </c>
      <c r="E29" s="15"/>
      <c r="F29" s="23"/>
    </row>
    <row r="30" spans="1:6" ht="34">
      <c r="A30" s="33"/>
      <c r="B30" s="2" t="s">
        <v>64</v>
      </c>
      <c r="C30" s="3" t="s">
        <v>65</v>
      </c>
      <c r="D30" s="5" t="s">
        <v>25</v>
      </c>
      <c r="E30" s="15"/>
      <c r="F30" s="23"/>
    </row>
    <row r="31" spans="1:6" ht="34">
      <c r="A31" s="33"/>
      <c r="B31" s="2" t="s">
        <v>66</v>
      </c>
      <c r="C31" s="3" t="s">
        <v>67</v>
      </c>
      <c r="D31" s="5" t="s">
        <v>25</v>
      </c>
      <c r="E31" s="15"/>
      <c r="F31" s="23"/>
    </row>
    <row r="32" spans="1:6" ht="34">
      <c r="A32" s="33"/>
      <c r="B32" s="2" t="s">
        <v>68</v>
      </c>
      <c r="C32" s="3" t="s">
        <v>69</v>
      </c>
      <c r="D32" s="5" t="s">
        <v>25</v>
      </c>
      <c r="E32" s="15"/>
      <c r="F32" s="23"/>
    </row>
    <row r="33" spans="1:6" ht="34">
      <c r="A33" s="33"/>
      <c r="B33" s="2" t="s">
        <v>70</v>
      </c>
      <c r="C33" s="3" t="s">
        <v>71</v>
      </c>
      <c r="D33" s="5" t="s">
        <v>25</v>
      </c>
      <c r="E33" s="15"/>
      <c r="F33" s="23"/>
    </row>
    <row r="34" spans="1:6" ht="34">
      <c r="A34" s="33"/>
      <c r="B34" s="2" t="s">
        <v>72</v>
      </c>
      <c r="C34" s="3" t="s">
        <v>73</v>
      </c>
      <c r="D34" s="5" t="s">
        <v>25</v>
      </c>
      <c r="E34" s="15"/>
      <c r="F34" s="23"/>
    </row>
    <row r="35" spans="1:6" ht="34">
      <c r="A35" s="33"/>
      <c r="B35" s="2" t="s">
        <v>74</v>
      </c>
      <c r="C35" s="3" t="s">
        <v>75</v>
      </c>
      <c r="D35" s="5" t="s">
        <v>25</v>
      </c>
      <c r="E35" s="15"/>
      <c r="F35" s="23"/>
    </row>
    <row r="36" spans="1:6" ht="34">
      <c r="A36" s="33"/>
      <c r="B36" s="2" t="s">
        <v>76</v>
      </c>
      <c r="C36" s="3" t="s">
        <v>77</v>
      </c>
      <c r="D36" s="5" t="s">
        <v>25</v>
      </c>
      <c r="E36" s="15"/>
      <c r="F36" s="23"/>
    </row>
    <row r="37" spans="1:6" ht="34">
      <c r="A37" s="33"/>
      <c r="B37" s="2" t="s">
        <v>78</v>
      </c>
      <c r="C37" s="3" t="s">
        <v>79</v>
      </c>
      <c r="D37" s="5" t="s">
        <v>25</v>
      </c>
      <c r="E37" s="15"/>
      <c r="F37" s="23"/>
    </row>
    <row r="38" spans="1:6" ht="34">
      <c r="A38" s="33"/>
      <c r="B38" s="2" t="s">
        <v>80</v>
      </c>
      <c r="C38" s="3" t="s">
        <v>81</v>
      </c>
      <c r="D38" s="5" t="s">
        <v>25</v>
      </c>
      <c r="E38" s="15"/>
      <c r="F38" s="23"/>
    </row>
    <row r="39" spans="1:6" ht="34">
      <c r="A39" s="33"/>
      <c r="B39" s="2" t="s">
        <v>82</v>
      </c>
      <c r="C39" s="3" t="s">
        <v>83</v>
      </c>
      <c r="D39" s="5" t="s">
        <v>25</v>
      </c>
      <c r="E39" s="15"/>
      <c r="F39" s="23"/>
    </row>
    <row r="40" spans="1:6" ht="34">
      <c r="A40" s="34"/>
      <c r="B40" s="2" t="s">
        <v>84</v>
      </c>
      <c r="C40" s="3" t="s">
        <v>85</v>
      </c>
      <c r="D40" s="5" t="s">
        <v>25</v>
      </c>
      <c r="E40" s="15"/>
      <c r="F40" s="23"/>
    </row>
    <row r="41" spans="1:6" ht="19">
      <c r="A41" s="32" t="s">
        <v>86</v>
      </c>
      <c r="B41" s="2" t="s">
        <v>87</v>
      </c>
      <c r="C41" s="3" t="s">
        <v>88</v>
      </c>
      <c r="D41" s="5" t="s">
        <v>25</v>
      </c>
      <c r="E41" s="15"/>
      <c r="F41" s="23"/>
    </row>
    <row r="42" spans="1:6" ht="34">
      <c r="A42" s="33"/>
      <c r="B42" s="2" t="s">
        <v>89</v>
      </c>
      <c r="C42" s="3" t="s">
        <v>90</v>
      </c>
      <c r="D42" s="5" t="s">
        <v>25</v>
      </c>
      <c r="E42" s="15"/>
      <c r="F42" s="23"/>
    </row>
    <row r="43" spans="1:6" ht="34">
      <c r="A43" s="33"/>
      <c r="B43" s="2" t="s">
        <v>91</v>
      </c>
      <c r="C43" s="3" t="s">
        <v>92</v>
      </c>
      <c r="D43" s="5" t="s">
        <v>25</v>
      </c>
      <c r="E43" s="15"/>
      <c r="F43" s="23"/>
    </row>
    <row r="44" spans="1:6" ht="34">
      <c r="A44" s="33"/>
      <c r="B44" s="2" t="s">
        <v>93</v>
      </c>
      <c r="C44" s="3" t="s">
        <v>94</v>
      </c>
      <c r="D44" s="5" t="s">
        <v>25</v>
      </c>
      <c r="E44" s="15"/>
      <c r="F44" s="23"/>
    </row>
    <row r="45" spans="1:6" ht="34">
      <c r="A45" s="33"/>
      <c r="B45" s="2" t="s">
        <v>95</v>
      </c>
      <c r="C45" s="3" t="s">
        <v>96</v>
      </c>
      <c r="D45" s="5" t="s">
        <v>25</v>
      </c>
      <c r="E45" s="15"/>
      <c r="F45" s="23"/>
    </row>
    <row r="46" spans="1:6" ht="34">
      <c r="A46" s="33"/>
      <c r="B46" s="2" t="s">
        <v>97</v>
      </c>
      <c r="C46" s="3" t="s">
        <v>98</v>
      </c>
      <c r="D46" s="5" t="s">
        <v>25</v>
      </c>
      <c r="E46" s="15"/>
      <c r="F46" s="23"/>
    </row>
    <row r="47" spans="1:6" ht="51">
      <c r="A47" s="33"/>
      <c r="B47" s="2" t="s">
        <v>99</v>
      </c>
      <c r="C47" s="3" t="s">
        <v>100</v>
      </c>
      <c r="D47" s="5" t="s">
        <v>25</v>
      </c>
      <c r="E47" s="15"/>
      <c r="F47" s="23"/>
    </row>
    <row r="48" spans="1:6" ht="34">
      <c r="A48" s="34"/>
      <c r="B48" s="2" t="s">
        <v>101</v>
      </c>
      <c r="C48" s="3" t="s">
        <v>102</v>
      </c>
      <c r="D48" s="5" t="s">
        <v>25</v>
      </c>
      <c r="E48" s="15"/>
      <c r="F48" s="23"/>
    </row>
    <row r="49" spans="1:6" ht="19">
      <c r="A49" s="32" t="s">
        <v>103</v>
      </c>
      <c r="B49" s="2" t="s">
        <v>104</v>
      </c>
      <c r="C49" s="3" t="s">
        <v>105</v>
      </c>
      <c r="D49" s="5" t="s">
        <v>25</v>
      </c>
      <c r="E49" s="15"/>
      <c r="F49" s="23"/>
    </row>
    <row r="50" spans="1:6" ht="19">
      <c r="A50" s="34"/>
      <c r="B50" s="2" t="s">
        <v>106</v>
      </c>
      <c r="C50" s="3" t="s">
        <v>107</v>
      </c>
      <c r="D50" s="5" t="s">
        <v>25</v>
      </c>
      <c r="E50" s="15"/>
      <c r="F50" s="23"/>
    </row>
    <row r="51" spans="1:6" ht="170">
      <c r="A51" s="32" t="s">
        <v>108</v>
      </c>
      <c r="B51" s="2" t="s">
        <v>109</v>
      </c>
      <c r="C51" s="3" t="s">
        <v>110</v>
      </c>
      <c r="D51" s="5" t="s">
        <v>28</v>
      </c>
      <c r="E51" s="9" t="s">
        <v>111</v>
      </c>
      <c r="F51" s="45" t="s">
        <v>297</v>
      </c>
    </row>
    <row r="52" spans="1:6" ht="34">
      <c r="A52" s="33"/>
      <c r="B52" s="2" t="s">
        <v>112</v>
      </c>
      <c r="C52" s="3" t="s">
        <v>113</v>
      </c>
      <c r="D52" s="5" t="s">
        <v>25</v>
      </c>
      <c r="E52" s="15"/>
      <c r="F52" s="23"/>
    </row>
    <row r="53" spans="1:6" ht="34">
      <c r="A53" s="33"/>
      <c r="B53" s="2" t="s">
        <v>114</v>
      </c>
      <c r="C53" s="3" t="s">
        <v>115</v>
      </c>
      <c r="D53" s="5" t="s">
        <v>116</v>
      </c>
      <c r="E53" s="15" t="s">
        <v>117</v>
      </c>
      <c r="F53" s="23"/>
    </row>
    <row r="54" spans="1:6" ht="34">
      <c r="A54" s="33"/>
      <c r="B54" s="2" t="s">
        <v>118</v>
      </c>
      <c r="C54" s="3" t="s">
        <v>119</v>
      </c>
      <c r="D54" s="5" t="s">
        <v>25</v>
      </c>
      <c r="E54" s="15"/>
      <c r="F54" s="23"/>
    </row>
    <row r="55" spans="1:6" ht="51">
      <c r="A55" s="34"/>
      <c r="B55" s="2" t="s">
        <v>120</v>
      </c>
      <c r="C55" s="3" t="s">
        <v>121</v>
      </c>
      <c r="D55" s="5" t="s">
        <v>28</v>
      </c>
      <c r="E55" s="9" t="s">
        <v>122</v>
      </c>
      <c r="F55" s="45" t="s">
        <v>298</v>
      </c>
    </row>
    <row r="56" spans="1:6" ht="19">
      <c r="A56" s="32" t="s">
        <v>123</v>
      </c>
      <c r="B56" s="2" t="s">
        <v>124</v>
      </c>
      <c r="C56" s="3" t="s">
        <v>125</v>
      </c>
      <c r="D56" s="5" t="s">
        <v>25</v>
      </c>
      <c r="E56" s="15"/>
      <c r="F56" s="23"/>
    </row>
    <row r="57" spans="1:6" ht="34">
      <c r="A57" s="33"/>
      <c r="B57" s="2" t="s">
        <v>126</v>
      </c>
      <c r="C57" s="3" t="s">
        <v>127</v>
      </c>
      <c r="D57" s="5" t="s">
        <v>116</v>
      </c>
      <c r="E57" s="9" t="s">
        <v>292</v>
      </c>
      <c r="F57" s="23"/>
    </row>
    <row r="58" spans="1:6" ht="19">
      <c r="A58" s="33"/>
      <c r="B58" s="2" t="s">
        <v>129</v>
      </c>
      <c r="C58" s="3" t="s">
        <v>130</v>
      </c>
      <c r="D58" s="5" t="s">
        <v>25</v>
      </c>
      <c r="E58" s="15"/>
      <c r="F58" s="23"/>
    </row>
    <row r="59" spans="1:6" ht="34">
      <c r="A59" s="33"/>
      <c r="B59" s="2" t="s">
        <v>131</v>
      </c>
      <c r="C59" s="3" t="s">
        <v>132</v>
      </c>
      <c r="D59" s="5" t="s">
        <v>25</v>
      </c>
      <c r="E59" s="15"/>
      <c r="F59" s="23"/>
    </row>
    <row r="60" spans="1:6" ht="19">
      <c r="A60" s="33"/>
      <c r="B60" s="2" t="s">
        <v>133</v>
      </c>
      <c r="C60" s="3" t="s">
        <v>134</v>
      </c>
      <c r="D60" s="5" t="s">
        <v>25</v>
      </c>
      <c r="E60" s="15"/>
      <c r="F60" s="23"/>
    </row>
    <row r="61" spans="1:6" ht="19">
      <c r="A61" s="33"/>
      <c r="B61" s="2" t="s">
        <v>135</v>
      </c>
      <c r="C61" s="3" t="s">
        <v>136</v>
      </c>
      <c r="D61" s="5" t="s">
        <v>25</v>
      </c>
      <c r="E61" s="15"/>
      <c r="F61" s="23"/>
    </row>
    <row r="62" spans="1:6" ht="34">
      <c r="A62" s="33"/>
      <c r="B62" s="2" t="s">
        <v>137</v>
      </c>
      <c r="C62" s="3" t="s">
        <v>138</v>
      </c>
      <c r="D62" s="5" t="s">
        <v>25</v>
      </c>
      <c r="E62" s="15"/>
      <c r="F62" s="23"/>
    </row>
    <row r="63" spans="1:6" ht="34">
      <c r="A63" s="33"/>
      <c r="B63" s="2" t="s">
        <v>139</v>
      </c>
      <c r="C63" s="3" t="s">
        <v>140</v>
      </c>
      <c r="D63" s="5" t="s">
        <v>25</v>
      </c>
      <c r="E63" s="15"/>
      <c r="F63" s="23"/>
    </row>
    <row r="64" spans="1:6" ht="34">
      <c r="A64" s="33"/>
      <c r="B64" s="2" t="s">
        <v>141</v>
      </c>
      <c r="C64" s="3" t="s">
        <v>142</v>
      </c>
      <c r="D64" s="5" t="s">
        <v>25</v>
      </c>
      <c r="E64" s="15"/>
      <c r="F64" s="23"/>
    </row>
    <row r="65" spans="1:6" ht="34">
      <c r="A65" s="34"/>
      <c r="B65" s="2" t="s">
        <v>143</v>
      </c>
      <c r="C65" s="3" t="s">
        <v>144</v>
      </c>
      <c r="D65" s="5" t="s">
        <v>25</v>
      </c>
      <c r="E65" s="15"/>
      <c r="F65" s="23"/>
    </row>
    <row r="66" spans="1:6" ht="34">
      <c r="A66" s="32" t="s">
        <v>145</v>
      </c>
      <c r="B66" s="2" t="s">
        <v>146</v>
      </c>
      <c r="C66" s="3" t="s">
        <v>147</v>
      </c>
      <c r="D66" s="5" t="s">
        <v>25</v>
      </c>
      <c r="E66" s="15"/>
      <c r="F66" s="23"/>
    </row>
    <row r="67" spans="1:6" ht="34">
      <c r="A67" s="33"/>
      <c r="B67" s="2" t="s">
        <v>148</v>
      </c>
      <c r="C67" s="3" t="s">
        <v>149</v>
      </c>
      <c r="D67" s="5" t="s">
        <v>25</v>
      </c>
      <c r="E67" s="15"/>
      <c r="F67" s="23"/>
    </row>
    <row r="68" spans="1:6" ht="19">
      <c r="A68" s="33"/>
      <c r="B68" s="2" t="s">
        <v>150</v>
      </c>
      <c r="C68" s="3" t="s">
        <v>151</v>
      </c>
      <c r="D68" s="5" t="s">
        <v>25</v>
      </c>
      <c r="E68" s="15"/>
      <c r="F68" s="23"/>
    </row>
    <row r="69" spans="1:6" ht="34">
      <c r="A69" s="34"/>
      <c r="B69" s="2" t="s">
        <v>152</v>
      </c>
      <c r="C69" s="3" t="s">
        <v>153</v>
      </c>
      <c r="D69" s="5" t="s">
        <v>25</v>
      </c>
      <c r="E69" s="15"/>
      <c r="F69" s="23"/>
    </row>
    <row r="70" spans="1:6" ht="51">
      <c r="A70" s="32" t="s">
        <v>154</v>
      </c>
      <c r="B70" s="2" t="s">
        <v>155</v>
      </c>
      <c r="C70" s="3" t="s">
        <v>156</v>
      </c>
      <c r="D70" s="5" t="s">
        <v>116</v>
      </c>
      <c r="E70" s="9" t="s">
        <v>291</v>
      </c>
      <c r="F70" s="23"/>
    </row>
    <row r="71" spans="1:6" ht="34">
      <c r="A71" s="33"/>
      <c r="B71" s="2" t="s">
        <v>158</v>
      </c>
      <c r="C71" s="3" t="s">
        <v>159</v>
      </c>
      <c r="D71" s="5" t="s">
        <v>116</v>
      </c>
      <c r="E71" s="15" t="s">
        <v>160</v>
      </c>
      <c r="F71" s="23"/>
    </row>
    <row r="72" spans="1:6" ht="34">
      <c r="A72" s="33"/>
      <c r="B72" s="2" t="s">
        <v>161</v>
      </c>
      <c r="C72" s="3" t="s">
        <v>162</v>
      </c>
      <c r="D72" s="5" t="s">
        <v>116</v>
      </c>
      <c r="E72" s="9" t="s">
        <v>163</v>
      </c>
      <c r="F72" s="23"/>
    </row>
    <row r="73" spans="1:6" ht="51">
      <c r="A73" s="33"/>
      <c r="B73" s="2" t="s">
        <v>164</v>
      </c>
      <c r="C73" s="3" t="s">
        <v>165</v>
      </c>
      <c r="D73" s="5" t="s">
        <v>116</v>
      </c>
      <c r="E73" s="15" t="s">
        <v>166</v>
      </c>
      <c r="F73" s="23"/>
    </row>
    <row r="74" spans="1:6" ht="34">
      <c r="A74" s="33"/>
      <c r="B74" s="2" t="s">
        <v>167</v>
      </c>
      <c r="C74" s="3" t="s">
        <v>168</v>
      </c>
      <c r="D74" s="5" t="s">
        <v>25</v>
      </c>
      <c r="E74" s="9" t="s">
        <v>169</v>
      </c>
      <c r="F74" s="23"/>
    </row>
    <row r="75" spans="1:6" ht="34">
      <c r="A75" s="33"/>
      <c r="B75" s="2" t="s">
        <v>170</v>
      </c>
      <c r="C75" s="3" t="s">
        <v>171</v>
      </c>
      <c r="D75" s="5" t="s">
        <v>25</v>
      </c>
      <c r="E75" s="15"/>
      <c r="F75" s="23"/>
    </row>
    <row r="76" spans="1:6" ht="34">
      <c r="A76" s="33"/>
      <c r="B76" s="2" t="s">
        <v>172</v>
      </c>
      <c r="C76" s="3" t="s">
        <v>173</v>
      </c>
      <c r="D76" s="5" t="s">
        <v>116</v>
      </c>
      <c r="E76" s="9" t="s">
        <v>295</v>
      </c>
      <c r="F76" s="23"/>
    </row>
    <row r="77" spans="1:6" ht="34">
      <c r="A77" s="33"/>
      <c r="B77" s="2" t="s">
        <v>175</v>
      </c>
      <c r="C77" s="3" t="s">
        <v>176</v>
      </c>
      <c r="D77" s="5" t="s">
        <v>25</v>
      </c>
      <c r="E77" s="15"/>
      <c r="F77" s="23"/>
    </row>
    <row r="78" spans="1:6" ht="51">
      <c r="A78" s="33"/>
      <c r="B78" s="2" t="s">
        <v>177</v>
      </c>
      <c r="C78" s="3" t="s">
        <v>178</v>
      </c>
      <c r="D78" s="5" t="s">
        <v>25</v>
      </c>
      <c r="E78" s="15"/>
      <c r="F78" s="23"/>
    </row>
    <row r="79" spans="1:6" ht="51">
      <c r="A79" s="33"/>
      <c r="B79" s="2" t="s">
        <v>179</v>
      </c>
      <c r="C79" s="3" t="s">
        <v>180</v>
      </c>
      <c r="D79" s="5" t="s">
        <v>25</v>
      </c>
      <c r="E79" s="15"/>
      <c r="F79" s="23"/>
    </row>
    <row r="80" spans="1:6" ht="85">
      <c r="A80" s="33"/>
      <c r="B80" s="2" t="s">
        <v>181</v>
      </c>
      <c r="C80" s="3" t="s">
        <v>182</v>
      </c>
      <c r="D80" s="5" t="s">
        <v>116</v>
      </c>
      <c r="E80" s="9" t="s">
        <v>183</v>
      </c>
      <c r="F80" s="23"/>
    </row>
    <row r="81" spans="1:6" ht="119">
      <c r="A81" s="33"/>
      <c r="B81" s="2" t="s">
        <v>184</v>
      </c>
      <c r="C81" s="3" t="s">
        <v>185</v>
      </c>
      <c r="D81" s="5" t="s">
        <v>116</v>
      </c>
      <c r="E81" s="9" t="s">
        <v>186</v>
      </c>
      <c r="F81" s="23"/>
    </row>
    <row r="82" spans="1:6" ht="51">
      <c r="A82" s="33"/>
      <c r="B82" s="2" t="s">
        <v>187</v>
      </c>
      <c r="C82" s="3" t="s">
        <v>188</v>
      </c>
      <c r="D82" s="5" t="s">
        <v>25</v>
      </c>
      <c r="E82" s="15"/>
      <c r="F82" s="23"/>
    </row>
    <row r="83" spans="1:6" ht="51">
      <c r="A83" s="34"/>
      <c r="B83" s="2" t="s">
        <v>189</v>
      </c>
      <c r="C83" s="3" t="s">
        <v>190</v>
      </c>
      <c r="D83" s="5" t="s">
        <v>25</v>
      </c>
      <c r="E83" s="15"/>
      <c r="F83" s="23"/>
    </row>
    <row r="84" spans="1:6" ht="19">
      <c r="A84" s="32" t="s">
        <v>191</v>
      </c>
      <c r="B84" s="2" t="s">
        <v>192</v>
      </c>
      <c r="C84" s="3" t="s">
        <v>193</v>
      </c>
      <c r="D84" s="5" t="s">
        <v>116</v>
      </c>
      <c r="E84" s="15" t="s">
        <v>194</v>
      </c>
      <c r="F84" s="23"/>
    </row>
    <row r="85" spans="1:6" ht="34">
      <c r="A85" s="33"/>
      <c r="B85" s="2" t="s">
        <v>195</v>
      </c>
      <c r="C85" s="3" t="s">
        <v>196</v>
      </c>
      <c r="D85" s="5" t="s">
        <v>25</v>
      </c>
      <c r="E85" s="15" t="s">
        <v>197</v>
      </c>
      <c r="F85" s="23"/>
    </row>
    <row r="86" spans="1:6" ht="51">
      <c r="A86" s="33"/>
      <c r="B86" s="2" t="s">
        <v>198</v>
      </c>
      <c r="C86" s="3" t="s">
        <v>199</v>
      </c>
      <c r="D86" s="5" t="s">
        <v>25</v>
      </c>
      <c r="E86" s="15"/>
      <c r="F86" s="23"/>
    </row>
    <row r="87" spans="1:6" ht="51">
      <c r="A87" s="33"/>
      <c r="B87" s="2" t="s">
        <v>200</v>
      </c>
      <c r="C87" s="3" t="s">
        <v>201</v>
      </c>
      <c r="D87" s="5" t="s">
        <v>116</v>
      </c>
      <c r="E87" s="9" t="s">
        <v>202</v>
      </c>
      <c r="F87" s="23"/>
    </row>
    <row r="88" spans="1:6" ht="34">
      <c r="A88" s="33"/>
      <c r="B88" s="2" t="s">
        <v>203</v>
      </c>
      <c r="C88" s="3" t="s">
        <v>204</v>
      </c>
      <c r="D88" s="5" t="s">
        <v>25</v>
      </c>
      <c r="E88" s="15"/>
      <c r="F88" s="23"/>
    </row>
    <row r="89" spans="1:6" ht="34">
      <c r="A89" s="33"/>
      <c r="B89" s="2" t="s">
        <v>205</v>
      </c>
      <c r="C89" s="3" t="s">
        <v>206</v>
      </c>
      <c r="D89" s="5" t="s">
        <v>25</v>
      </c>
      <c r="E89" s="15"/>
      <c r="F89" s="23"/>
    </row>
    <row r="90" spans="1:6" ht="34">
      <c r="A90" s="33"/>
      <c r="B90" s="2" t="s">
        <v>207</v>
      </c>
      <c r="C90" s="3" t="s">
        <v>208</v>
      </c>
      <c r="D90" s="5" t="s">
        <v>25</v>
      </c>
      <c r="E90" s="15"/>
      <c r="F90" s="23"/>
    </row>
    <row r="91" spans="1:6" ht="34">
      <c r="A91" s="33"/>
      <c r="B91" s="2" t="s">
        <v>209</v>
      </c>
      <c r="C91" s="3" t="s">
        <v>210</v>
      </c>
      <c r="D91" s="5" t="s">
        <v>25</v>
      </c>
      <c r="E91" s="15"/>
      <c r="F91" s="23"/>
    </row>
    <row r="92" spans="1:6" ht="34">
      <c r="A92" s="33"/>
      <c r="B92" s="2" t="s">
        <v>211</v>
      </c>
      <c r="C92" s="3" t="s">
        <v>212</v>
      </c>
      <c r="D92" s="5" t="s">
        <v>25</v>
      </c>
      <c r="E92" s="15"/>
      <c r="F92" s="23"/>
    </row>
    <row r="93" spans="1:6" ht="289">
      <c r="A93" s="33"/>
      <c r="B93" s="2" t="s">
        <v>213</v>
      </c>
      <c r="C93" s="3" t="s">
        <v>214</v>
      </c>
      <c r="D93" s="5" t="s">
        <v>28</v>
      </c>
      <c r="E93" s="9" t="s">
        <v>289</v>
      </c>
      <c r="F93" s="46" t="s">
        <v>301</v>
      </c>
    </row>
    <row r="94" spans="1:6" ht="34">
      <c r="A94" s="33"/>
      <c r="B94" s="2" t="s">
        <v>216</v>
      </c>
      <c r="C94" s="3" t="s">
        <v>217</v>
      </c>
      <c r="D94" s="5" t="s">
        <v>28</v>
      </c>
      <c r="E94" s="9" t="s">
        <v>218</v>
      </c>
      <c r="F94" s="48" t="s">
        <v>302</v>
      </c>
    </row>
    <row r="95" spans="1:6" ht="85">
      <c r="A95" s="33"/>
      <c r="B95" s="2" t="s">
        <v>219</v>
      </c>
      <c r="C95" s="3" t="s">
        <v>220</v>
      </c>
      <c r="D95" s="5" t="s">
        <v>25</v>
      </c>
      <c r="E95" s="15"/>
      <c r="F95" s="24"/>
    </row>
    <row r="96" spans="1:6" ht="306">
      <c r="A96" s="34"/>
      <c r="B96" s="2" t="s">
        <v>221</v>
      </c>
      <c r="C96" s="3" t="s">
        <v>222</v>
      </c>
      <c r="D96" s="5" t="s">
        <v>28</v>
      </c>
      <c r="E96" s="9" t="s">
        <v>290</v>
      </c>
      <c r="F96" s="49" t="s">
        <v>302</v>
      </c>
    </row>
    <row r="97" spans="1:6" ht="34">
      <c r="A97" s="32" t="s">
        <v>225</v>
      </c>
      <c r="B97" s="2" t="s">
        <v>226</v>
      </c>
      <c r="C97" s="3" t="s">
        <v>227</v>
      </c>
      <c r="D97" s="5" t="s">
        <v>25</v>
      </c>
      <c r="E97" s="15"/>
      <c r="F97" s="23"/>
    </row>
    <row r="98" spans="1:6" ht="34">
      <c r="A98" s="33"/>
      <c r="B98" s="2" t="s">
        <v>228</v>
      </c>
      <c r="C98" s="3" t="s">
        <v>229</v>
      </c>
      <c r="D98" s="5" t="s">
        <v>25</v>
      </c>
      <c r="E98" s="15"/>
      <c r="F98" s="23"/>
    </row>
    <row r="99" spans="1:6" ht="19">
      <c r="A99" s="33"/>
      <c r="B99" s="2" t="s">
        <v>230</v>
      </c>
      <c r="C99" s="3" t="s">
        <v>231</v>
      </c>
      <c r="D99" s="5" t="s">
        <v>25</v>
      </c>
      <c r="E99" s="15"/>
      <c r="F99" s="23"/>
    </row>
    <row r="100" spans="1:6" ht="34">
      <c r="A100" s="33"/>
      <c r="B100" s="2" t="s">
        <v>232</v>
      </c>
      <c r="C100" s="3" t="s">
        <v>233</v>
      </c>
      <c r="D100" s="5" t="s">
        <v>25</v>
      </c>
      <c r="E100" s="15"/>
      <c r="F100" s="23"/>
    </row>
    <row r="101" spans="1:6" ht="34">
      <c r="A101" s="33"/>
      <c r="B101" s="2" t="s">
        <v>234</v>
      </c>
      <c r="C101" s="3" t="s">
        <v>235</v>
      </c>
      <c r="D101" s="5" t="s">
        <v>25</v>
      </c>
      <c r="E101" s="15"/>
      <c r="F101" s="23"/>
    </row>
    <row r="102" spans="1:6" ht="68">
      <c r="A102" s="33"/>
      <c r="B102" s="2" t="s">
        <v>236</v>
      </c>
      <c r="C102" s="3" t="s">
        <v>237</v>
      </c>
      <c r="D102" s="5" t="s">
        <v>25</v>
      </c>
      <c r="E102" s="15"/>
      <c r="F102" s="23"/>
    </row>
    <row r="103" spans="1:6" ht="34">
      <c r="A103" s="33"/>
      <c r="B103" s="2" t="s">
        <v>238</v>
      </c>
      <c r="C103" s="3" t="s">
        <v>239</v>
      </c>
      <c r="D103" s="5" t="s">
        <v>25</v>
      </c>
      <c r="E103" s="15"/>
      <c r="F103" s="23"/>
    </row>
    <row r="104" spans="1:6" ht="19">
      <c r="A104" s="33"/>
      <c r="B104" s="2" t="s">
        <v>240</v>
      </c>
      <c r="C104" s="3" t="s">
        <v>241</v>
      </c>
      <c r="D104" s="5" t="s">
        <v>25</v>
      </c>
      <c r="E104" s="15"/>
      <c r="F104" s="23"/>
    </row>
    <row r="105" spans="1:6" ht="34">
      <c r="A105" s="33"/>
      <c r="B105" s="2" t="s">
        <v>242</v>
      </c>
      <c r="C105" s="3" t="s">
        <v>243</v>
      </c>
      <c r="D105" s="5" t="s">
        <v>116</v>
      </c>
      <c r="E105" s="15" t="s">
        <v>244</v>
      </c>
      <c r="F105" s="23"/>
    </row>
    <row r="106" spans="1:6" ht="51">
      <c r="A106" s="33"/>
      <c r="B106" s="2" t="s">
        <v>245</v>
      </c>
      <c r="C106" s="3" t="s">
        <v>246</v>
      </c>
      <c r="D106" s="5" t="s">
        <v>25</v>
      </c>
      <c r="E106" s="15"/>
      <c r="F106" s="23"/>
    </row>
    <row r="107" spans="1:6" ht="51">
      <c r="A107" s="34"/>
      <c r="B107" s="2" t="s">
        <v>247</v>
      </c>
      <c r="C107" s="3" t="s">
        <v>248</v>
      </c>
      <c r="D107" s="5" t="s">
        <v>25</v>
      </c>
      <c r="E107" s="15"/>
      <c r="F107" s="23"/>
    </row>
    <row r="108" spans="1:6" ht="34">
      <c r="A108" s="32" t="s">
        <v>249</v>
      </c>
      <c r="B108" s="2" t="s">
        <v>250</v>
      </c>
      <c r="C108" s="3" t="s">
        <v>251</v>
      </c>
      <c r="D108" s="5" t="s">
        <v>25</v>
      </c>
      <c r="E108" s="15"/>
      <c r="F108" s="23"/>
    </row>
    <row r="109" spans="1:6" ht="51">
      <c r="A109" s="33"/>
      <c r="B109" s="2" t="s">
        <v>252</v>
      </c>
      <c r="C109" s="3" t="s">
        <v>253</v>
      </c>
      <c r="D109" s="5" t="s">
        <v>25</v>
      </c>
      <c r="E109" s="15"/>
      <c r="F109" s="23"/>
    </row>
    <row r="110" spans="1:6" ht="51">
      <c r="A110" s="33"/>
      <c r="B110" s="2" t="s">
        <v>254</v>
      </c>
      <c r="C110" s="3" t="s">
        <v>255</v>
      </c>
      <c r="D110" s="5" t="s">
        <v>25</v>
      </c>
      <c r="E110" s="15"/>
      <c r="F110" s="23"/>
    </row>
    <row r="111" spans="1:6" ht="34">
      <c r="A111" s="33"/>
      <c r="B111" s="2" t="s">
        <v>256</v>
      </c>
      <c r="C111" s="3" t="s">
        <v>257</v>
      </c>
      <c r="D111" s="5" t="s">
        <v>25</v>
      </c>
      <c r="E111" s="15"/>
      <c r="F111" s="23"/>
    </row>
    <row r="112" spans="1:6" ht="34">
      <c r="A112" s="33"/>
      <c r="B112" s="2" t="s">
        <v>258</v>
      </c>
      <c r="C112" s="3" t="s">
        <v>259</v>
      </c>
      <c r="D112" s="5" t="s">
        <v>25</v>
      </c>
      <c r="E112" s="15"/>
      <c r="F112" s="23"/>
    </row>
    <row r="113" spans="1:6" ht="51">
      <c r="A113" s="33"/>
      <c r="B113" s="2" t="s">
        <v>260</v>
      </c>
      <c r="C113" s="3" t="s">
        <v>261</v>
      </c>
      <c r="D113" s="5" t="s">
        <v>25</v>
      </c>
      <c r="E113" s="15"/>
      <c r="F113" s="23"/>
    </row>
    <row r="114" spans="1:6" ht="34">
      <c r="A114" s="33"/>
      <c r="B114" s="2" t="s">
        <v>262</v>
      </c>
      <c r="C114" s="3" t="s">
        <v>263</v>
      </c>
      <c r="D114" s="5" t="s">
        <v>25</v>
      </c>
      <c r="E114" s="15"/>
      <c r="F114" s="23"/>
    </row>
    <row r="115" spans="1:6" ht="34">
      <c r="A115" s="33"/>
      <c r="B115" s="2" t="s">
        <v>264</v>
      </c>
      <c r="C115" s="3" t="s">
        <v>265</v>
      </c>
      <c r="D115" s="5" t="s">
        <v>25</v>
      </c>
      <c r="E115" s="15"/>
      <c r="F115" s="23"/>
    </row>
    <row r="116" spans="1:6" ht="51">
      <c r="A116" s="33"/>
      <c r="B116" s="2" t="s">
        <v>266</v>
      </c>
      <c r="C116" s="3" t="s">
        <v>267</v>
      </c>
      <c r="D116" s="5" t="s">
        <v>25</v>
      </c>
      <c r="E116" s="15"/>
      <c r="F116" s="23"/>
    </row>
    <row r="117" spans="1:6" ht="51">
      <c r="A117" s="33"/>
      <c r="B117" s="2" t="s">
        <v>268</v>
      </c>
      <c r="C117" s="3" t="s">
        <v>269</v>
      </c>
      <c r="D117" s="5" t="s">
        <v>25</v>
      </c>
      <c r="E117" s="15"/>
      <c r="F117" s="23"/>
    </row>
    <row r="118" spans="1:6" ht="51">
      <c r="A118" s="33"/>
      <c r="B118" s="2" t="s">
        <v>270</v>
      </c>
      <c r="C118" s="3" t="s">
        <v>271</v>
      </c>
      <c r="D118" s="5" t="s">
        <v>25</v>
      </c>
      <c r="E118" s="15"/>
      <c r="F118" s="23"/>
    </row>
    <row r="119" spans="1:6" ht="51">
      <c r="A119" s="34"/>
      <c r="B119" s="2" t="s">
        <v>272</v>
      </c>
      <c r="C119" s="3" t="s">
        <v>273</v>
      </c>
      <c r="D119" s="5" t="s">
        <v>25</v>
      </c>
      <c r="E119" s="15"/>
      <c r="F119" s="23"/>
    </row>
    <row r="122" spans="1:6">
      <c r="A122" s="28" t="s">
        <v>274</v>
      </c>
      <c r="B122" s="28"/>
      <c r="C122" s="28"/>
      <c r="D122" s="28"/>
      <c r="E122" s="7" t="s">
        <v>275</v>
      </c>
    </row>
    <row r="123" spans="1:6" ht="52" customHeight="1">
      <c r="A123" s="29" t="s">
        <v>276</v>
      </c>
      <c r="B123" s="30"/>
      <c r="C123" s="30"/>
      <c r="D123" s="31"/>
      <c r="E123" s="8" t="s">
        <v>277</v>
      </c>
    </row>
    <row r="124" spans="1:6" ht="34">
      <c r="A124" s="29" t="s">
        <v>278</v>
      </c>
      <c r="B124" s="30"/>
      <c r="C124" s="30"/>
      <c r="D124" s="31"/>
      <c r="E124" s="8" t="s">
        <v>279</v>
      </c>
    </row>
    <row r="125" spans="1:6" ht="37" customHeight="1">
      <c r="A125" s="29" t="s">
        <v>280</v>
      </c>
      <c r="B125" s="30"/>
      <c r="C125" s="30"/>
      <c r="D125" s="31"/>
      <c r="E125" s="8" t="s">
        <v>281</v>
      </c>
    </row>
    <row r="126" spans="1:6" ht="75" customHeight="1">
      <c r="A126" s="29" t="s">
        <v>282</v>
      </c>
      <c r="B126" s="30"/>
      <c r="C126" s="30"/>
      <c r="D126" s="31"/>
      <c r="E126" s="8" t="s">
        <v>283</v>
      </c>
    </row>
    <row r="127" spans="1:6" ht="101" customHeight="1">
      <c r="A127" s="29" t="s">
        <v>284</v>
      </c>
      <c r="B127" s="30"/>
      <c r="C127" s="30"/>
      <c r="D127" s="31"/>
      <c r="E127" s="8" t="s">
        <v>285</v>
      </c>
    </row>
  </sheetData>
  <mergeCells count="30">
    <mergeCell ref="A127:D127"/>
    <mergeCell ref="A125:D125"/>
    <mergeCell ref="A7:C7"/>
    <mergeCell ref="A3:C3"/>
    <mergeCell ref="A4:C4"/>
    <mergeCell ref="A5:C5"/>
    <mergeCell ref="A6:C6"/>
    <mergeCell ref="A56:A65"/>
    <mergeCell ref="A66:A69"/>
    <mergeCell ref="A70:A83"/>
    <mergeCell ref="A84:A96"/>
    <mergeCell ref="A97:A107"/>
    <mergeCell ref="A108:A119"/>
    <mergeCell ref="A122:D122"/>
    <mergeCell ref="A123:D123"/>
    <mergeCell ref="A124:D124"/>
    <mergeCell ref="A126:D126"/>
    <mergeCell ref="A1:D1"/>
    <mergeCell ref="A51:A55"/>
    <mergeCell ref="A8:C8"/>
    <mergeCell ref="A9:C9"/>
    <mergeCell ref="A10:C10"/>
    <mergeCell ref="A11:C11"/>
    <mergeCell ref="A14:A22"/>
    <mergeCell ref="A23:A24"/>
    <mergeCell ref="A25:A27"/>
    <mergeCell ref="A28:A40"/>
    <mergeCell ref="A41:A48"/>
    <mergeCell ref="A49:A50"/>
    <mergeCell ref="A2:C2"/>
  </mergeCells>
  <conditionalFormatting sqref="D14:E119">
    <cfRule type="expression" dxfId="2" priority="1">
      <formula>$D14="Non testé"</formula>
    </cfRule>
    <cfRule type="expression" dxfId="1" priority="3">
      <formula>$D14="Conforme"</formula>
    </cfRule>
    <cfRule type="expression" dxfId="0" priority="4">
      <formula>$D14="Non conforme"</formula>
    </cfRule>
  </conditionalFormatting>
  <dataValidations count="2">
    <dataValidation allowBlank="1" showInputMessage="1" showErrorMessage="1" prompt="Format JJ/MM/AAAA" sqref="D3" xr:uid="{00000000-0002-0000-0500-000000000000}"/>
    <dataValidation type="list" allowBlank="1" showInputMessage="1" showErrorMessage="1" sqref="D14:D119" xr:uid="{00000000-0002-0000-0500-000001000000}">
      <formula1>"Conforme,Non conforme,Non applicable,Dérogé,Non testé"</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Infos générales</vt:lpstr>
      <vt:lpstr>SyTextField Audit V1</vt:lpstr>
      <vt:lpstr>SyTextField Audit V2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David FYON</cp:lastModifiedBy>
  <cp:revision/>
  <dcterms:created xsi:type="dcterms:W3CDTF">2025-03-05T16:22:31Z</dcterms:created>
  <dcterms:modified xsi:type="dcterms:W3CDTF">2025-08-07T13:53:18Z</dcterms:modified>
  <cp:category/>
  <cp:contentStatus/>
</cp:coreProperties>
</file>
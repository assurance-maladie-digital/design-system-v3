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CHARRIER-32221\Downloads\"/>
    </mc:Choice>
  </mc:AlternateContent>
  <bookViews>
    <workbookView xWindow="0" yWindow="504" windowWidth="25596" windowHeight="26640"/>
  </bookViews>
  <sheets>
    <sheet name="SyBtnSelect" sheetId="2"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2" l="1"/>
  <c r="D8" i="2"/>
  <c r="D9" i="2" l="1"/>
  <c r="D6" i="2"/>
  <c r="D5" i="2"/>
  <c r="D10" i="2" l="1"/>
  <c r="D11" i="2" s="1"/>
</calcChain>
</file>

<file path=xl/sharedStrings.xml><?xml version="1.0" encoding="utf-8"?>
<sst xmlns="http://schemas.openxmlformats.org/spreadsheetml/2006/main" count="389" uniqueCount="284">
  <si>
    <t>Thématique</t>
  </si>
  <si>
    <t>Recommandation</t>
  </si>
  <si>
    <t>IMAGES</t>
  </si>
  <si>
    <t>1.1</t>
  </si>
  <si>
    <t>Chaque image porteuse d’information a-t-elle une alternative textuelle ?</t>
  </si>
  <si>
    <t>1.2</t>
  </si>
  <si>
    <t>Chaque image de décoration est-elle correctement ignorée par les technologies d’assistance ?</t>
  </si>
  <si>
    <t>1.3</t>
  </si>
  <si>
    <t>Pour chaque image porteuse d'information ayant une alternative textuelle, cette alternative est-elle pertinente (hors cas particuliers) ?</t>
  </si>
  <si>
    <t>1.4</t>
  </si>
  <si>
    <t>Pour chaque image utilisée comme CAPTCHA ou comme image-test, ayant une alternative textuelle, cette alternative permet-elle d’identifier la nature et la fonction de l’image ?</t>
  </si>
  <si>
    <t>1.5</t>
  </si>
  <si>
    <t>Pour chaque image utilisée comme CAPTCHA, une solution d’accès alternatif au contenu ou à la fonction du CAPTCHA est-elle présente ?</t>
  </si>
  <si>
    <t>1.6</t>
  </si>
  <si>
    <t>Chaque image porteuse d’information a-t-elle, si nécessaire, une description détaillée ?</t>
  </si>
  <si>
    <t>1.7</t>
  </si>
  <si>
    <t>Pour chaque image porteuse d’information ayant une description détaillée, cette description est-elle pertinente ?</t>
  </si>
  <si>
    <t>1.8</t>
  </si>
  <si>
    <t>Chaque image texte porteuse d’information, en l’absence d’un mécanisme de remplacement, doit si possible être remplacée par du texte stylé. Cette règle est-elle respectée (hors cas particuliers) ?</t>
  </si>
  <si>
    <t>1.9</t>
  </si>
  <si>
    <t>Chaque légende d’image est-elle, si nécessaire, correctement reliée à l’image correspondante ?</t>
  </si>
  <si>
    <t>CADRES</t>
  </si>
  <si>
    <t>2.1</t>
  </si>
  <si>
    <t>Chaque cadre a-t-il un titre de cadre ?</t>
  </si>
  <si>
    <t>2.2</t>
  </si>
  <si>
    <t>Pour chaque cadre ayant un titre de cadre, ce titre de cadre est-il pertinent ?</t>
  </si>
  <si>
    <t>COULEURS</t>
  </si>
  <si>
    <t>3.1</t>
  </si>
  <si>
    <t>Dans chaque page web, l’information ne doit pas être donnée uniquement par la couleur. Cette règle est-elle respectée ?</t>
  </si>
  <si>
    <t>3.2</t>
  </si>
  <si>
    <t>Dans chaque page web, le contraste entre la couleur du texte et la couleur de son arrière-plan est-il suffisamment élevé (hors cas particuliers) ?</t>
  </si>
  <si>
    <t>3.3</t>
  </si>
  <si>
    <t>Dans chaque page web, les couleurs utilisées dans les composants d’interface ou les éléments graphiques porteurs d’informations sont-elles suffisamment contrastées (hors cas particuliers) ?</t>
  </si>
  <si>
    <t>MULTIMÉDIA</t>
  </si>
  <si>
    <t>4.1</t>
  </si>
  <si>
    <t>Chaque média temporel pré-enregistré a-t-il, si nécessaire, une transcription textuelle ou une audiodescription (hors cas particuliers) ?</t>
  </si>
  <si>
    <t>4.2</t>
  </si>
  <si>
    <t>Pour chaque média temporel pré-enregistré ayant une transcription textuelle ou une audiodescription synchronisée, celles-ci sont-elles pertinentes (hors cas particuliers) ?</t>
  </si>
  <si>
    <t>4.3</t>
  </si>
  <si>
    <t>Chaque média temporel synchronisé pré-enregistré a-t-il, si nécessaire, des sous-titres synchronisés (hors cas particuliers) ?</t>
  </si>
  <si>
    <t>4.4</t>
  </si>
  <si>
    <t>Pour chaque média temporel synchronisé pré-enregistré ayant des sous-titres synchronisés, ces sous-titres sont-ils pertinents ?</t>
  </si>
  <si>
    <t>4.5</t>
  </si>
  <si>
    <t>Chaque média temporel pré-enregistré a-t-il, si nécessaire, une audiodescription synchronisée (hors cas particuliers) ?</t>
  </si>
  <si>
    <t>4.6</t>
  </si>
  <si>
    <t>Pour chaque média temporel pré-enregistré ayant une audiodescription synchronisée, celle-ci est-elle pertinente ?</t>
  </si>
  <si>
    <t>4.7</t>
  </si>
  <si>
    <t>Chaque média temporel est-il clairement identifiable (hors cas particuliers) ?</t>
  </si>
  <si>
    <t>4.8</t>
  </si>
  <si>
    <t>Chaque média non temporel a-t-il, si nécessaire, une alternative (hors cas particuliers) ?</t>
  </si>
  <si>
    <t>4.9</t>
  </si>
  <si>
    <t>Pour chaque média non temporel ayant une alternative, cette alternative est-elle pertinente ?</t>
  </si>
  <si>
    <t>4.10</t>
  </si>
  <si>
    <t>Chaque son déclenché automatiquement est-il contrôlable par l’utilisateur ?</t>
  </si>
  <si>
    <t>4.11</t>
  </si>
  <si>
    <t>La consultation de chaque média temporel est-elle, si nécessaire, contrôlable par le clavier et tout dispositif de pointage ?</t>
  </si>
  <si>
    <t>4.12</t>
  </si>
  <si>
    <t>La consultation de chaque média non temporel est-elle contrôlable par le clavier et tout dispositif de pointage ?</t>
  </si>
  <si>
    <t>4.13</t>
  </si>
  <si>
    <t>Chaque média temporel et non temporel est-il compatible avec les technologies d’assistance (hors cas particuliers) ?</t>
  </si>
  <si>
    <t>TABLEAUX</t>
  </si>
  <si>
    <t>5.1</t>
  </si>
  <si>
    <t>Chaque tableau de données complexe a-t-il un résumé ?</t>
  </si>
  <si>
    <t>5.2</t>
  </si>
  <si>
    <t>Pour chaque tableau de données complexe ayant un résumé, celui-ci est-il pertinent ?</t>
  </si>
  <si>
    <t>5.3</t>
  </si>
  <si>
    <t>Pour chaque tableau de mise en forme, le contenu linéarisé reste-t-il compréhensible ?</t>
  </si>
  <si>
    <t>5.4</t>
  </si>
  <si>
    <t>Pour chaque tableau de données ayant un titre, le titre est-il correctement associé au tableau de données ?</t>
  </si>
  <si>
    <t>5.5</t>
  </si>
  <si>
    <t>Pour chaque tableau de données ayant un titre, celui-ci est-il pertinent ?</t>
  </si>
  <si>
    <t>5.6</t>
  </si>
  <si>
    <t>Pour chaque tableau de données, chaque en-tête de colonnes et chaque en-tête de lignes sont-ils correctement déclarés ?</t>
  </si>
  <si>
    <t>5.7</t>
  </si>
  <si>
    <t>Pour chaque tableau de données, la technique appropriée permettant d’associer chaque cellule avec ses en-têtes est-elle utilisée (hors cas particuliers) ?</t>
  </si>
  <si>
    <t>5.8</t>
  </si>
  <si>
    <t>Chaque tableau de mise en forme ne doit pas utiliser d’éléments propres aux tableaux de données. Cette règle est-elle respectée ?</t>
  </si>
  <si>
    <t>LIENS</t>
  </si>
  <si>
    <t>6.1</t>
  </si>
  <si>
    <t>Chaque lien est-il explicite (hors cas particuliers) ?</t>
  </si>
  <si>
    <t>6.2</t>
  </si>
  <si>
    <t>Dans chaque page web, chaque lien a-t-il un intitulé ?</t>
  </si>
  <si>
    <t>SCRIPTS</t>
  </si>
  <si>
    <t>7.1</t>
  </si>
  <si>
    <t>Chaque script est-il, si nécessaire, compatible avec les technologies d’assistance ?</t>
  </si>
  <si>
    <t>7.2</t>
  </si>
  <si>
    <t>Pour chaque script ayant une alternative, cette alternative est-elle pertinente ?</t>
  </si>
  <si>
    <t>7.3</t>
  </si>
  <si>
    <t>Chaque script est-il contrôlable par le clavier et par tout dispositif de pointage (hors cas particuliers) ?</t>
  </si>
  <si>
    <t>7.4</t>
  </si>
  <si>
    <t>Pour chaque script qui initie un changement de contexte, l’utilisateur est-il averti ou en a-t-il le contrôle ?</t>
  </si>
  <si>
    <t>7.5</t>
  </si>
  <si>
    <t>Dans chaque page web, les messages de statut sont-ils correctement restitués par les technologies d’assistance ?</t>
  </si>
  <si>
    <t>ÉLÉMENTS OBLIGATOIRES</t>
  </si>
  <si>
    <t>8.1</t>
  </si>
  <si>
    <t>Chaque page web est-elle définie par un type de document ?</t>
  </si>
  <si>
    <t>8.2</t>
  </si>
  <si>
    <t>Pour chaque page web, le code source généré est-il valide selon le type de document spécifié (hors cas particuliers) ?</t>
  </si>
  <si>
    <t>8.3</t>
  </si>
  <si>
    <t>Dans chaque page web, la langue par défaut est-elle présente ?</t>
  </si>
  <si>
    <t>8.4</t>
  </si>
  <si>
    <t>Pour chaque page web ayant une langue par défaut, le code de langue est-il pertinent ?</t>
  </si>
  <si>
    <t>8.5</t>
  </si>
  <si>
    <t>Chaque page web a-t-elle un titre de page ?</t>
  </si>
  <si>
    <t>8.6</t>
  </si>
  <si>
    <t>Pour chaque page web ayant un titre de page, ce titre est-il pertinent ?</t>
  </si>
  <si>
    <t>8.7</t>
  </si>
  <si>
    <t>Dans chaque page web, chaque changement de langue est-il indiqué dans le code source (hors cas particuliers) ?</t>
  </si>
  <si>
    <t>8.8</t>
  </si>
  <si>
    <t>Dans chaque page web, le code de langue de chaque changement de langue est-il valide et pertinent ?</t>
  </si>
  <si>
    <t>8.9</t>
  </si>
  <si>
    <t>Dans chaque page web, les balises ne doivent pas être utilisées uniquement à des fins de présentation. Cette règle est-elle respectée ?</t>
  </si>
  <si>
    <t>8.10</t>
  </si>
  <si>
    <t>Dans chaque page web, les changements du sens de lecture sont-ils signalés ?</t>
  </si>
  <si>
    <t>STRUCTURATION</t>
  </si>
  <si>
    <t>9.1</t>
  </si>
  <si>
    <t>Dans chaque page web, l’information est-elle structurée par l’utilisation appropriée de titres ?</t>
  </si>
  <si>
    <t>9.2</t>
  </si>
  <si>
    <t>Dans chaque page web, la structure du document est-elle cohérente (hors cas particuliers) ?</t>
  </si>
  <si>
    <t>9.3</t>
  </si>
  <si>
    <t>Dans chaque page web, chaque liste est-elle correctement structurée ?</t>
  </si>
  <si>
    <t>9.4</t>
  </si>
  <si>
    <t>Dans chaque page web, chaque citation est-elle correctement indiquée ?</t>
  </si>
  <si>
    <t>PRÉSENTATION</t>
  </si>
  <si>
    <t>10.1</t>
  </si>
  <si>
    <t>Dans le site web, des feuilles de styles sont-elles utilisées pour contrôler la présentation de l’information ?</t>
  </si>
  <si>
    <t>10.2</t>
  </si>
  <si>
    <t>Dans chaque page web, le contenu visible porteur d’information reste-t-il présent lorsque les feuilles de styles sont désactivées ?</t>
  </si>
  <si>
    <t>10.3</t>
  </si>
  <si>
    <t>Dans chaque page web, l’information reste-t-elle compréhensible lorsque les feuilles de styles sont désactivées ?</t>
  </si>
  <si>
    <t>10.4</t>
  </si>
  <si>
    <t>Dans chaque page web, le texte reste-t-il lisible lorsque la taille des caractères est augmentée jusqu’à 200%, au moins (hors cas particuliers) ?</t>
  </si>
  <si>
    <t>10.5</t>
  </si>
  <si>
    <t>Dans chaque page web, les déclarations CSS de couleurs de fond d’élément et de police sont-elles correctement utilisées ?</t>
  </si>
  <si>
    <t>10.6</t>
  </si>
  <si>
    <t>Dans chaque page web, chaque lien dont la nature n’est pas évidente est-il visible par rapport au texte environnant ?</t>
  </si>
  <si>
    <t>10.7</t>
  </si>
  <si>
    <t>Dans chaque page web, pour chaque élément recevant le focus, la prise de focus est-elle visible ?</t>
  </si>
  <si>
    <t>10.8</t>
  </si>
  <si>
    <t>Pour chaque page web, les contenus cachés ont-ils vocation à être ignorés par les technologies d’assistance ?</t>
  </si>
  <si>
    <t>10.9</t>
  </si>
  <si>
    <t>Dans chaque page web, l’information ne doit pas être donnée uniquement par la forme, taille ou position. Cette règle est-elle respectée ?</t>
  </si>
  <si>
    <t>10.10</t>
  </si>
  <si>
    <t>Dans chaque page web, l’information ne doit pas être donnée par la forme, taille ou position uniquement. Cette règle est-elle implémentée de façon pertinente ?</t>
  </si>
  <si>
    <t>10.11</t>
  </si>
  <si>
    <t>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t>
  </si>
  <si>
    <t>10.12</t>
  </si>
  <si>
    <t>Dans chaque page web, les propriétés d’espacement du texte peuvent-elles être redéfinies par l’utilisateur sans perte de contenu ou de fonctionnalité (hors cas particuliers) ?</t>
  </si>
  <si>
    <t>10.13</t>
  </si>
  <si>
    <t>Dans chaque page web, les contenus additionnels apparaissant à la prise de focus ou au survol d’un composant d’interface sont-ils contrôlables par l’utilisateur (hors cas particuliers) ?</t>
  </si>
  <si>
    <t>10.14</t>
  </si>
  <si>
    <t>Dans chaque page web, les contenus additionnels apparaissant via les styles CSS uniquement peuvent-ils être rendus visibles au clavier et par tout dispositif de pointage ?</t>
  </si>
  <si>
    <t>FORMULAIRES</t>
  </si>
  <si>
    <t>11.1</t>
  </si>
  <si>
    <t>Chaque champ de formulaire a-t-il une étiquette ?</t>
  </si>
  <si>
    <t>11.2</t>
  </si>
  <si>
    <t>Chaque étiquette associée à un champ de formulaire est-elle pertinente (hors cas particuliers) ?</t>
  </si>
  <si>
    <t>11.3</t>
  </si>
  <si>
    <t>Dans chaque formulaire, chaque étiquette associée à un champ de formulaire ayant la même fonction et répété plusieurs fois dans une même page ou dans un ensemble de pages est-elle cohérente ?</t>
  </si>
  <si>
    <t>11.4</t>
  </si>
  <si>
    <t>Dans chaque formulaire, chaque étiquette de champ et son champ associé sont-ils accolés (hors cas particuliers) ?</t>
  </si>
  <si>
    <t>11.5</t>
  </si>
  <si>
    <t>Dans chaque formulaire, les champs de même nature sont-ils regroupés, si nécessaire ?</t>
  </si>
  <si>
    <t>11.6</t>
  </si>
  <si>
    <t>Dans chaque formulaire, chaque regroupement de champs de même nature a-t-il une légende ?</t>
  </si>
  <si>
    <t>11.7</t>
  </si>
  <si>
    <t>Dans chaque formulaire, chaque légende associée à un regroupement de champs de même nature est-elle pertinente ?</t>
  </si>
  <si>
    <t>11.8</t>
  </si>
  <si>
    <t>Dans chaque formulaire, les items de même nature d’une liste de choix sont-ils regroupées de manière pertinente ?</t>
  </si>
  <si>
    <t>11.9</t>
  </si>
  <si>
    <t>Dans chaque formulaire, l’intitulé de chaque bouton est-il pertinent (hors cas particuliers) ?</t>
  </si>
  <si>
    <t>11.10</t>
  </si>
  <si>
    <t>Dans chaque formulaire, le contrôle de saisie est-il utilisé de manière pertinente (hors cas particuliers) ?</t>
  </si>
  <si>
    <t>11.11</t>
  </si>
  <si>
    <t>Dans chaque formulaire, le contrôle de saisie est-il accompagné, si nécessaire, de suggestions facilitant la correction des erreurs de saisie ?</t>
  </si>
  <si>
    <t>11.12</t>
  </si>
  <si>
    <t>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t>
  </si>
  <si>
    <t>11.13</t>
  </si>
  <si>
    <t>La finalité d’un champ de saisie peut-elle être déduite pour faciliter le remplissage automatique des champs avec les données de l’utilisateur ?</t>
  </si>
  <si>
    <t>NAVIGATION</t>
  </si>
  <si>
    <t>12.1</t>
  </si>
  <si>
    <t>Chaque ensemble de pages dispose-t-il de deux systèmes de navigation différents, au moins (hors cas particuliers) ?</t>
  </si>
  <si>
    <t>12.2</t>
  </si>
  <si>
    <t>Dans chaque ensemble de pages, le menu et les barres de navigation sont-ils toujours à la même place (hors cas particuliers) ?</t>
  </si>
  <si>
    <t>12.3</t>
  </si>
  <si>
    <t>La page « plan du site » est-elle pertinente ?</t>
  </si>
  <si>
    <t>12.4</t>
  </si>
  <si>
    <t>Dans chaque ensemble de pages, la page « plan du site » est-elle atteignable de manière identique ?</t>
  </si>
  <si>
    <t>12.5</t>
  </si>
  <si>
    <t>Dans chaque ensemble de pages, le moteur de recherche est-il atteignable de manière identique ?</t>
  </si>
  <si>
    <t>12.6</t>
  </si>
  <si>
    <t>Les zones de regroupement de contenus présentes dans plusieurs pages web (zones d’en-tête, de navigation principale, de contenu principal, de pied de page et de moteur de recherche) peuvent-elles être atteintes ou évitées ?</t>
  </si>
  <si>
    <t>12.7</t>
  </si>
  <si>
    <t>Dans chaque page web, un lien d’évitement ou d’accès rapide à la zone de contenu principal est-il présent (hors cas particuliers) ?</t>
  </si>
  <si>
    <t>12.8</t>
  </si>
  <si>
    <t>Dans chaque page web, l’ordre de tabulation est-il cohérent ?</t>
  </si>
  <si>
    <t>12.9</t>
  </si>
  <si>
    <t>Dans chaque page web, la navigation ne doit pas contenir de piège au clavier. Cette règle est-elle respectée ?</t>
  </si>
  <si>
    <t>12.10</t>
  </si>
  <si>
    <t>Dans chaque page web, les raccourcis clavier n’utilisant qu’une seule touche (lettre minuscule ou majuscule, ponctuation, chiffre ou symbole) sont-ils contrôlables par l’utilisateur ?</t>
  </si>
  <si>
    <t>12.11</t>
  </si>
  <si>
    <t>Dans chaque page web, les contenus additionnels apparaissant au survol, à la prise de focus ou à l’activation d’un composant d’interface sont-ils si nécessaire atteignables au clavier ?</t>
  </si>
  <si>
    <t>CONSULTATION</t>
  </si>
  <si>
    <t>13.1</t>
  </si>
  <si>
    <t>Pour chaque page web, l’utilisateur a-t-il le contrôle de chaque limite de temps modifiant le contenu (hors cas particuliers) ?</t>
  </si>
  <si>
    <t>13.2</t>
  </si>
  <si>
    <t>Dans chaque page web, l’ouverture d’une nouvelle fenêtre ne doit pas être déclenchée sans action de l’utilisateur. Cette règle est-elle respectée ?</t>
  </si>
  <si>
    <t>13.3</t>
  </si>
  <si>
    <t>Dans chaque page web, chaque document bureautique en téléchargement possède-t-il, si nécessaire, une version accessible (hors cas particuliers) ?</t>
  </si>
  <si>
    <t>13.4</t>
  </si>
  <si>
    <t>Pour chaque document bureautique ayant une version accessible, cette version offre-t-elle la même information ?</t>
  </si>
  <si>
    <t>13.5</t>
  </si>
  <si>
    <t>Dans chaque page web, chaque contenu cryptique (art ASCII, émoticon, syntaxe cryptique) a-t-il une alternative ?</t>
  </si>
  <si>
    <t>13.6</t>
  </si>
  <si>
    <t>Dans chaque page web, pour chaque contenu cryptique (art ASCII, émoticon, syntaxe cryptique) ayant une alternative, cette alternative est-elle pertinente ?</t>
  </si>
  <si>
    <t>13.7</t>
  </si>
  <si>
    <t>Dans chaque page web, les changements brusques de luminosité ou les effets de flash sont-ils correctement utilisés ?</t>
  </si>
  <si>
    <t>13.8</t>
  </si>
  <si>
    <t>Dans chaque page web, chaque contenu en mouvement ou clignotant est-il contrôlable par l’utilisateur ?</t>
  </si>
  <si>
    <t>13.9</t>
  </si>
  <si>
    <t>Dans chaque page web, le contenu proposé est-il consultable quelle que soit l’orientation de l’écran (portait ou paysage) (hors cas particuliers) ?</t>
  </si>
  <si>
    <t>13.10</t>
  </si>
  <si>
    <t>Dans chaque page web, les fonctionnalités utilisables ou disponibles au moyen d’un geste complexe peuvent-elles être également disponibles au moyen d’un geste simple (hors cas particuliers) ?</t>
  </si>
  <si>
    <t>13.11</t>
  </si>
  <si>
    <t>Dans chaque page web, les actions déclenchées au moyen d’un dispositif de pointage sur un point unique de l’écran peuvent-elles faire l’objet d’une annulation (hors cas particuliers) ?</t>
  </si>
  <si>
    <t>13.12</t>
  </si>
  <si>
    <t>Dans chaque page web, les fonctionnalités qui impliquent un mouvement de l’appareil ou vers l’appareil peuvent-elles être satisfaites de manière alternative (hors cas particuliers) ?</t>
  </si>
  <si>
    <t>Conformité</t>
  </si>
  <si>
    <t>Description de l'erreur / Remarques / Questions</t>
  </si>
  <si>
    <t>N° critère</t>
  </si>
  <si>
    <t>Nombre de critères conformes</t>
  </si>
  <si>
    <t>Nombre de critères non conformes</t>
  </si>
  <si>
    <t>Nombre de critères dérogés</t>
  </si>
  <si>
    <t>Nombre de critères non testés</t>
  </si>
  <si>
    <t>Date</t>
  </si>
  <si>
    <t>Spécificité</t>
  </si>
  <si>
    <t>Source technique</t>
  </si>
  <si>
    <t>Nombre de critères non applicable</t>
  </si>
  <si>
    <t>Version</t>
  </si>
  <si>
    <t>Pourcentage de conformité</t>
  </si>
  <si>
    <t>Pourcentage de non-conformité</t>
  </si>
  <si>
    <t>Correction</t>
  </si>
  <si>
    <t>Audit</t>
  </si>
  <si>
    <t>Audit V1</t>
  </si>
  <si>
    <t>Composant : SyBtnSelect</t>
  </si>
  <si>
    <t>1.0.10</t>
  </si>
  <si>
    <t>- https://www.w3.org/WAI/ARIA/apg/patterns/menu-button/</t>
  </si>
  <si>
    <t>Le bouton déclencheur qui ouvre le menu doit être un élément button (ou rôle button) et possèder les attributs suivants :
- aria-haspopup = "true"
- aria-controls qui fait référence à l'élément HTML avec le rôle menu</t>
  </si>
  <si>
    <t>Lorsque le menu est affiché, il faut un aria-expanded="true" sur l'élément HTML button (false lorsqu'il est fermé)</t>
  </si>
  <si>
    <t>Le menu doit avoir :
- le nom accessibe du bouton déclencheur
- le focus (tabindex="-1" si présent dans le DOM, tabindex="0" si non présent accepté)
- l'attribut aria-activedescendant afin de connaître l'item selectionné
- le rôle menu
- le rôle menu-item pour ses items (descendants directs)</t>
  </si>
  <si>
    <t>- https://www.w3.org/WAI/ARIA/apg/patterns/menu-button/examples/menu-button-actions-active-descendant/</t>
  </si>
  <si>
    <t>- https://www.w3.org/WAI/ARIA/apg/patterns/menu-button/
- https://www.w3.org/WAI/ARIA/apg/patterns/menu-button/examples/menu-button-links/</t>
  </si>
  <si>
    <t>Composant de type "Menu button" (Attention, n'est pas un élément de formulaire / Ne sert qu'à accéder à d'autres pages), et plus précisemment, l'exemple "Navigation menu button" (avec des liens).
Lorsque l'on appuie sur la touche "Entrée", "Espace" ou "Flèche Bas", cela ouvre le menu et place le focus sur le premier élément du menu.
La fermeture du menu peut se faire en pressant "Entrée" ou "Echap". Dans ce cas, le focus est redirigé vers le bouton déclencheur.
On peut naviguer dans les items en utilisants les touches "Flèche Haut", "Flèche Bas", "Home", "End" ou, optionnellement, un caractère afin d'accéder à l'item suivant qui possède en première lettre le caractère tappé.
Si "Flèche Bas" sur le dernier item, le focus est déplacé sur le premier.
Si "Flèche Haut" sur le premier item, le focus est déplacé sur le dernier.</t>
  </si>
  <si>
    <t>Positifs : 
- Je peux ouvrir et fermer le menu en faisant Entrer ou Espace
- Je peux ouvrir le menu en faisant flèche Bas
- Je peux sortir du menu via Echap
- Je peux naviguer dans les items en utilisant les flèches Haut et Bas
- Si je suis sur le dernier item, la flèche Bas me dirige vers le premier élément (et inv  ersement)
- Le touches Home et End me dirige respectivement vers le premier ou le dernier élément
Recommandation :
- (Optionnel) Si on tape sur une touche "lettre", déplace le focus vers l'élément de menu suivant avec un item qui commence par le caractère tapé si un tel élément de menu existe. Aucun mouvement si aucun item ne correspond.
Pour en savoir plus : https://www.w3.org/WAI/ARIA/apg/patterns/menu-button/examples/menu-button-links/</t>
  </si>
  <si>
    <t>Conforme</t>
  </si>
  <si>
    <t>Non applicable</t>
  </si>
  <si>
    <t>Le menu doit avoir la structure sémantique ul + li en respectant le pattern Navigation Menu Button : https://www.w3.org/WAI/ARIA/apg/patterns/menu-button/examples/menu-button-links/
&lt;ul role="menu" aria-labelledby="menubutton"&gt;
    &lt;!-- Avec lien --&gt;
    &lt;li role="none"&gt;
        &lt;a role="menuitem" href="#"&gt;Administration&lt;a/&gt;
    &lt;/li&gt;
    &lt;!-- Sans lien --&gt;
    &lt;li role="menuitem"&gt;Se déconnecter&lt;/li&gt;
&lt;/ul&gt;</t>
  </si>
  <si>
    <t>Non conforme</t>
  </si>
  <si>
    <t>Défaut :
- Libellé du bouton (14px gras) :
    - normal =&gt; texte noir sur fond blanc =&gt; 16,07 (conforme)
    - hover =&gt; texte noir sur fond gris clair =&gt; 13,5 (conforme)
    - focus =&gt; texte noir sur fond gris clair =&gt; 11,4 (conforme)
    - active + focus =&gt; texte noir sur fond bleu ciel =&gt; 14,83 (conforme)
    - active (sans focus) =&gt; texte noir sur fond gris =&gt; 12,9 (conforme)
- Libellé des items :
    - normal =&gt; texte noir sur fond blanc =&gt; 13,4 (conforme)
    - hover =&gt; texte noir sur fond gris clair =&gt; 12,4 (conforme)
    - focus =&gt; texte noir sur fond gris clair =&gt; 10,5 (conforme)</t>
  </si>
  <si>
    <t>Le bouton possédant du texte, la bordure n'est pas le seul indicateur visuelle de la zone d'action. Donc le contraste de ce contour n'est pas à vérifier (voir "Boundaries" de la page W3C "Non text contrast" :  https://www.w3.org/WAI/WCAG21/Understanding/non-text-contrast.html). En revanche, il est nécessaire de vérifier le focus.
Défaut :
- Focus ring bouton :
    - avec le fond du bouton =&gt; bordure grise sur fond gris =&gt; 1,7 (non conforme =&gt; ratio minimum  de 3)
    - avec le fond de la page =&gt; bordure grise sur fond blanc =&gt; 2,1 (non conforme =&gt; ratio minimum  de 3)
- Focus ring bouton :
    - avec le fond de l'item =&gt; bordure grise sur fond gris =&gt; 1,3 (non conforme =&gt; ratio minimum  de 3)
    - avec le fond de la page/du meny =&gt; bordure grise sur fond blanc =&gt; 1,7 (non conforme =&gt; ratio minimum  de 3)
- Icône du bouton bleue :
    - état du bouton normal =&gt; icône bleue sur fond blanc =&gt; 6,7 (conforme)
    - état du bouton hover =&gt; icône bleue sur fond gris clair =&gt; 6,2 (conforme)
    - état du bouton focus =&gt; icône bleue sur fond gris clair =&gt; 5,3 (conforme)
    - état du bouton active + focus =&gt; icône bleue sur fond bleu ciel =&gt; 5 (conforme)
    - état du bouton active (sans focus) =&gt; icône bleue sur fond gris =&gt; 4,8 (conforme)
L'icône du bouton en couleur noire correspond au libellé du bouton (tous les états sont conformes).</t>
  </si>
  <si>
    <t>Il sera de la responsabilité du développeur de s'assurer que le lien est explicite.</t>
  </si>
  <si>
    <t>Chaque lien possède bien un intitulé.</t>
  </si>
  <si>
    <t>Les icônes (prepend/append) au niveau du bouton sont bien ignorées par les technologies d'assistance via un aria-hidden="true". Cependant, elles contiennent un SVG qui a un role="img", à retirer.</t>
  </si>
  <si>
    <t>Aucune balise ou attribut servant à la présentation de l'information n'est présent sur le composant, les styles sont bien réalisés par CSS. 
Une attention particulière est notée pour les espaces (sur un mot, un tableau ou pour simuler de la présentation) qui est de la responsabilité du contributeur</t>
  </si>
  <si>
    <t>Le contenu visible porteur d'information reste présent lorsque les feuilles de styles sont désactivées.</t>
  </si>
  <si>
    <t>L'information reste compréhensible car chaque élément utilise un élément HTML approprié et l'ordre ne nuit pas à la compréhension du composant.</t>
  </si>
  <si>
    <t>Le texte reste lisible que ce soit en zoom 200% écran ou texte.</t>
  </si>
  <si>
    <t>Un focus est bien appliqué mais son contraste n'est pas suffisant (voir critère 3.3)</t>
  </si>
  <si>
    <t>Testé avec Assistant RGAA :
body {
line-height: 1.5 !important;
letter-spacing: 0.12em !important;
 word-spacing: 0.16em !important;
}
p { margin-bottom: 2em !important; }</t>
  </si>
  <si>
    <t>Lorsque le composant possède un contenu long, celui-ci n'est pas responsive et une scrollbar horizontale apparaît (testé sur 320px)</t>
  </si>
  <si>
    <t>Il est possible de naviguer dans chacun des items en faisant Flèche Haut ou Bas et de sortir en faisant Echap.</t>
  </si>
  <si>
    <t>Apparaît en cliquant sur Entrée ou Espace lorsque l'utilisateur a le focus sur le bouton déclencheur.</t>
  </si>
  <si>
    <t>Le menu n'est pas "focusable" tant que le bouton n'a pas été activé (menu non présent dans le DOM puis présence avec un tabindex="0"). Le menu peut bien être fermé par la touche Echap et reste visible tant que le composant déclencheur ou le menu sont actifs.</t>
  </si>
  <si>
    <t>color et background-color définis sur .v-list.
Critère de la responsabilité du développeur en ce qui concerne le bouton.</t>
  </si>
  <si>
    <t>Le validateur W3C remonte cette erreur :
- Element div not allowed as child of element span in this context. (Suppressing further errors from this subtree.) =&gt; présence d'une div dans la span "v-btn__content"</t>
  </si>
  <si>
    <r>
      <rPr>
        <b/>
        <u/>
        <sz val="12"/>
        <color theme="1"/>
        <rFont val="Aptos Narrow (Corps)"/>
      </rPr>
      <t>Points positifs :</t>
    </r>
    <r>
      <rPr>
        <sz val="12"/>
        <color theme="1"/>
        <rFont val="Aptos Narrow"/>
        <scheme val="minor"/>
      </rPr>
      <t xml:space="preserve">
- Le composant button qui ouvre le menu est bien de type button avec les attributs aria-haspopup, aria-expanded et aria-controls. Il est bien rattaché au menu.
- Le menu possède bien le nom accessible du bouton (via un aria-labelledby).
</t>
    </r>
    <r>
      <rPr>
        <b/>
        <u/>
        <sz val="12"/>
        <color theme="1"/>
        <rFont val="Aptos Narrow (Corps)"/>
      </rPr>
      <t xml:space="preserve">Points négatifs :
</t>
    </r>
    <r>
      <rPr>
        <sz val="12"/>
        <color theme="1"/>
        <rFont val="Aptos Narrow (Corps)"/>
      </rPr>
      <t>- Un .sr-only est présent dans le contenu du bouton nommé "Sélectionnez une option". En plus d'être peu explicite, il n'est pas utile car l'utilisateur de technologie d'assistance sait qu'il est sur un bouton avec un menu via aria-haspopup et aria-expanded =&gt; supprimer ce span</t>
    </r>
    <r>
      <rPr>
        <sz val="12"/>
        <color theme="1"/>
        <rFont val="Aptos Narrow"/>
        <scheme val="minor"/>
      </rPr>
      <t xml:space="preserve">
- Le menu (le v-list) doit posséder l'attribut aria-activedescendant qui donne l'id de l'item sélectionné afin que le lecteur d'écran puisse l'identifier.
- Le menu doit posséder le nom accessible du bouton (via un aria-labelledby).
- Lorsque l'on ouvre le menu avec le clavier, le focus n'est pas placé automatiquement sur le premier élément du menu (le v-list qui a un tabindex="0").
- Le rôle du menu n'est pas le bon =&gt; nous avons un rôle "list" au lieu de "menu".
- Une liste doit toujours avoir en enfant direct un li alors qu'ici on a une balise "a". La balise "a" (à l'interieur d'un li role="none"), doit avoir le role "menuitem". Si aucun lien, c'est le li qui a le rôle "menuitem". L'attribution des bons rôles permettra au lecteur d'écran d'indiquer que l'utilisateur se trouve dans un menu et d'indiquer sa position dans le menu (il est sur l'item X sur Y) =&gt; voir le critère 9.3 pour en savoir plus
- Impossibilité de naviguer dans les propositions du menu via un lecteur d'écran (voir si l'attributions des rôles résout le problème).
- Supprimer les tabindex="-2" sur les items
- À la fermeture du menu, le focus doit être redirigé sur le bouton.
- Il manque la possibilité dans le composant d'ajouter un aria-current="page" sur le role="menuitem" (li ou a) indiquant que l'item correspond à la page en cours.
Pattern à respecter : https://www.w3.org/WAI/ARIA/apg/patterns/menu-button/examples/menu-button-links/</t>
    </r>
  </si>
  <si>
    <t>Changement du style de l'état de focus par un focus ring bleu.</t>
  </si>
  <si>
    <t>Utilisation du composant SyIcon dans les stories</t>
  </si>
  <si>
    <t>Utilisation d'une balise span</t>
  </si>
  <si>
    <t>- Suppression de la valeur par défaut du sr-only.
- Ajout de l'attribut aria-activedescendant synchronisé sur le model-value.
- Ajout de l'attribut aria-labeledby qui pointe sur le bouton.
- Ajout de la balise li.
- Suppression des tabindex="-1"
- Meilleur gestion du focus.</t>
  </si>
  <si>
    <t>Correction de la structure.</t>
  </si>
  <si>
    <t>Ajout d'un retour a la ligne.</t>
  </si>
  <si>
    <t>1.0.18</t>
  </si>
  <si>
    <t>Correction post audit V1 - (voir - https://github.com/assurance-maladie-digital/design-system-v3/issues/918)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</si>
</sst>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font>
      <sz val="12"/>
      <color theme="1"/>
      <name val="Aptos Narrow"/>
      <family val="2"/>
      <scheme val="minor"/>
    </font>
    <font>
      <sz val="12"/>
      <color theme="1"/>
      <name val="Aptos Narrow"/>
      <family val="2"/>
      <scheme val="minor"/>
    </font>
    <font>
      <b/>
      <sz val="12"/>
      <color rgb="FFFFFFFF"/>
      <name val="Aptos Narrow"/>
      <scheme val="minor"/>
    </font>
    <font>
      <sz val="12"/>
      <color theme="1"/>
      <name val="Aptos Narrow"/>
      <scheme val="minor"/>
    </font>
    <font>
      <b/>
      <sz val="12"/>
      <color rgb="FF000000"/>
      <name val="Aptos Narrow"/>
      <scheme val="minor"/>
    </font>
    <font>
      <sz val="12"/>
      <color rgb="FF000000"/>
      <name val="Aptos Narrow"/>
      <scheme val="minor"/>
    </font>
    <font>
      <sz val="14"/>
      <color theme="1"/>
      <name val="Aptos Narrow"/>
      <family val="2"/>
      <scheme val="minor"/>
    </font>
    <font>
      <b/>
      <sz val="14"/>
      <color theme="0"/>
      <name val="Aptos Narrow"/>
      <family val="2"/>
      <scheme val="minor"/>
    </font>
    <font>
      <sz val="12"/>
      <name val="Aptos Narrow"/>
      <scheme val="minor"/>
    </font>
    <font>
      <sz val="14"/>
      <name val="Aptos Narrow"/>
      <scheme val="minor"/>
    </font>
    <font>
      <sz val="14"/>
      <color theme="1"/>
      <name val="Aptos Narrow"/>
      <scheme val="minor"/>
    </font>
    <font>
      <sz val="12"/>
      <color theme="0"/>
      <name val="Aptos Narrow"/>
      <scheme val="minor"/>
    </font>
    <font>
      <b/>
      <sz val="14"/>
      <name val="Aptos Narrow"/>
      <scheme val="minor"/>
    </font>
    <font>
      <b/>
      <sz val="14"/>
      <color theme="1"/>
      <name val="Aptos Narrow"/>
      <scheme val="minor"/>
    </font>
    <font>
      <u/>
      <sz val="12"/>
      <color rgb="FF467886"/>
      <name val="Aptos Narrow"/>
      <family val="2"/>
      <scheme val="minor"/>
    </font>
    <font>
      <b/>
      <u/>
      <sz val="12"/>
      <color theme="1"/>
      <name val="Aptos Narrow (Corps)"/>
    </font>
    <font>
      <sz val="12"/>
      <color theme="1"/>
      <name val="Aptos Narrow (Corps)"/>
    </font>
    <font>
      <sz val="12"/>
      <color theme="6" tint="-0.249977111117893"/>
      <name val="Aptos Narrow"/>
      <scheme val="minor"/>
    </font>
  </fonts>
  <fills count="7">
    <fill>
      <patternFill patternType="none"/>
    </fill>
    <fill>
      <patternFill patternType="gray125"/>
    </fill>
    <fill>
      <patternFill patternType="solid">
        <fgColor theme="0"/>
        <bgColor indexed="64"/>
      </patternFill>
    </fill>
    <fill>
      <patternFill patternType="solid">
        <fgColor rgb="FF000091"/>
        <bgColor indexed="64"/>
      </patternFill>
    </fill>
    <fill>
      <patternFill patternType="solid">
        <fgColor rgb="FF000091"/>
        <bgColor rgb="FF2D77D0"/>
      </patternFill>
    </fill>
    <fill>
      <patternFill patternType="solid">
        <fgColor rgb="FF000091"/>
        <bgColor rgb="FFC81A71"/>
      </patternFill>
    </fill>
    <fill>
      <patternFill patternType="solid">
        <fgColor theme="6" tint="0.79998168889431442"/>
        <bgColor indexed="64"/>
      </patternFill>
    </fill>
  </fills>
  <borders count="12">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9" fontId="1" fillId="0" borderId="0" applyFont="0" applyFill="0" applyBorder="0" applyAlignment="0" applyProtection="0"/>
  </cellStyleXfs>
  <cellXfs count="46">
    <xf numFmtId="0" fontId="0" fillId="0" borderId="0" xfId="0"/>
    <xf numFmtId="0" fontId="3" fillId="0" borderId="0" xfId="0" applyFont="1"/>
    <xf numFmtId="0" fontId="4" fillId="0" borderId="2" xfId="0" applyFont="1" applyBorder="1" applyAlignment="1">
      <alignment horizontal="center" vertical="center" wrapText="1"/>
    </xf>
    <xf numFmtId="0" fontId="5" fillId="0" borderId="2" xfId="0" applyFont="1" applyBorder="1" applyAlignment="1">
      <alignment horizontal="left" vertical="center" wrapText="1"/>
    </xf>
    <xf numFmtId="0" fontId="7" fillId="3" borderId="5" xfId="0" applyFont="1" applyFill="1" applyBorder="1"/>
    <xf numFmtId="0" fontId="6" fillId="2" borderId="6" xfId="0" applyFont="1" applyFill="1" applyBorder="1" applyAlignment="1">
      <alignment horizontal="left" vertical="top"/>
    </xf>
    <xf numFmtId="0" fontId="7" fillId="3" borderId="7" xfId="0" applyFont="1" applyFill="1" applyBorder="1"/>
    <xf numFmtId="0" fontId="8" fillId="0" borderId="0" xfId="0" applyFont="1" applyAlignment="1">
      <alignment horizontal="center" vertical="center" wrapText="1"/>
    </xf>
    <xf numFmtId="14" fontId="10" fillId="0" borderId="5" xfId="0" applyNumberFormat="1" applyFont="1" applyBorder="1"/>
    <xf numFmtId="0" fontId="10" fillId="0" borderId="5" xfId="0" applyFont="1" applyBorder="1"/>
    <xf numFmtId="0" fontId="11" fillId="3" borderId="5" xfId="0" applyFont="1" applyFill="1" applyBorder="1"/>
    <xf numFmtId="0" fontId="3" fillId="0" borderId="5" xfId="0" applyFont="1" applyBorder="1" applyAlignment="1">
      <alignment horizontal="left" vertical="top" wrapText="1"/>
    </xf>
    <xf numFmtId="0" fontId="3" fillId="0" borderId="5" xfId="0" quotePrefix="1" applyFont="1" applyBorder="1" applyAlignment="1">
      <alignment horizontal="left" vertical="top" wrapText="1"/>
    </xf>
    <xf numFmtId="0" fontId="10" fillId="0" borderId="5" xfId="0" applyFont="1" applyBorder="1" applyAlignment="1">
      <alignment horizontal="right" vertical="top"/>
    </xf>
    <xf numFmtId="9" fontId="13" fillId="0" borderId="5" xfId="1" applyFont="1" applyFill="1" applyBorder="1"/>
    <xf numFmtId="0" fontId="3" fillId="0" borderId="6" xfId="0" applyFont="1" applyBorder="1" applyAlignment="1">
      <alignment horizontal="left" vertical="top"/>
    </xf>
    <xf numFmtId="0" fontId="3" fillId="0" borderId="6" xfId="0" applyFont="1" applyBorder="1" applyAlignment="1">
      <alignment horizontal="left" vertical="top" wrapText="1"/>
    </xf>
    <xf numFmtId="0" fontId="7" fillId="3" borderId="11" xfId="0" applyFont="1" applyFill="1" applyBorder="1"/>
    <xf numFmtId="0" fontId="3" fillId="0" borderId="5" xfId="0" applyFont="1" applyBorder="1"/>
    <xf numFmtId="0" fontId="13" fillId="0" borderId="5" xfId="0" applyFont="1" applyBorder="1" applyAlignment="1">
      <alignment horizontal="right"/>
    </xf>
    <xf numFmtId="0" fontId="10" fillId="0" borderId="5" xfId="0" applyFont="1" applyBorder="1" applyAlignment="1">
      <alignment horizontal="right"/>
    </xf>
    <xf numFmtId="9" fontId="13" fillId="0" borderId="5" xfId="0" applyNumberFormat="1" applyFont="1" applyBorder="1"/>
    <xf numFmtId="0" fontId="14" fillId="0" borderId="10" xfId="0" quotePrefix="1" applyFont="1" applyBorder="1" applyAlignment="1">
      <alignment horizontal="left" vertical="top" wrapText="1"/>
    </xf>
    <xf numFmtId="0" fontId="17" fillId="6" borderId="5" xfId="0" applyFont="1" applyFill="1" applyBorder="1" applyAlignment="1">
      <alignment vertical="top" wrapText="1"/>
    </xf>
    <xf numFmtId="0" fontId="17" fillId="6" borderId="5" xfId="0" quotePrefix="1" applyFont="1" applyFill="1" applyBorder="1" applyAlignment="1">
      <alignment vertical="top" wrapText="1"/>
    </xf>
    <xf numFmtId="0" fontId="2" fillId="4" borderId="4" xfId="0" applyFont="1" applyFill="1" applyBorder="1" applyAlignment="1">
      <alignment horizontal="center" vertical="center" textRotation="90" wrapText="1"/>
    </xf>
    <xf numFmtId="0" fontId="2" fillId="4" borderId="3" xfId="0" applyFont="1" applyFill="1" applyBorder="1" applyAlignment="1">
      <alignment horizontal="center" vertical="center" textRotation="90" wrapText="1"/>
    </xf>
    <xf numFmtId="0" fontId="2" fillId="4" borderId="1" xfId="0" applyFont="1" applyFill="1" applyBorder="1" applyAlignment="1">
      <alignment horizontal="center" vertical="center" textRotation="90" wrapText="1"/>
    </xf>
    <xf numFmtId="0" fontId="12" fillId="0" borderId="6" xfId="0" applyFont="1" applyBorder="1" applyAlignment="1">
      <alignment horizontal="left" vertical="top" wrapText="1"/>
    </xf>
    <xf numFmtId="0" fontId="12" fillId="0" borderId="9" xfId="0" applyFont="1" applyBorder="1" applyAlignment="1">
      <alignment horizontal="left" vertical="top" wrapText="1"/>
    </xf>
    <xf numFmtId="0" fontId="12" fillId="0" borderId="10" xfId="0" applyFont="1" applyBorder="1" applyAlignment="1">
      <alignment horizontal="left" vertical="top" wrapText="1"/>
    </xf>
    <xf numFmtId="0" fontId="5" fillId="0" borderId="6" xfId="0" applyFont="1" applyBorder="1" applyAlignment="1">
      <alignment horizontal="left" vertical="top" wrapText="1"/>
    </xf>
    <xf numFmtId="0" fontId="5" fillId="0" borderId="9" xfId="0" applyFont="1" applyBorder="1" applyAlignment="1">
      <alignment horizontal="left" vertical="top" wrapText="1"/>
    </xf>
    <xf numFmtId="0" fontId="5" fillId="0" borderId="10" xfId="0" applyFont="1" applyBorder="1" applyAlignment="1">
      <alignment horizontal="left" vertical="top" wrapText="1"/>
    </xf>
    <xf numFmtId="0" fontId="3" fillId="0" borderId="6" xfId="0" applyFont="1" applyBorder="1" applyAlignment="1">
      <alignment horizontal="left" vertical="top" wrapText="1"/>
    </xf>
    <xf numFmtId="0" fontId="3" fillId="0" borderId="9" xfId="0" applyFont="1" applyBorder="1" applyAlignment="1">
      <alignment horizontal="left" vertical="top" wrapText="1"/>
    </xf>
    <xf numFmtId="0" fontId="3" fillId="0" borderId="10" xfId="0" applyFont="1" applyBorder="1" applyAlignment="1">
      <alignment horizontal="left" vertical="top" wrapText="1"/>
    </xf>
    <xf numFmtId="0" fontId="3" fillId="0" borderId="5" xfId="0" applyFont="1" applyBorder="1" applyAlignment="1">
      <alignment horizontal="left" vertical="top" wrapText="1"/>
    </xf>
    <xf numFmtId="0" fontId="11" fillId="3" borderId="5" xfId="0" applyFont="1" applyFill="1" applyBorder="1" applyAlignment="1">
      <alignment horizontal="left"/>
    </xf>
    <xf numFmtId="0" fontId="9" fillId="0" borderId="5" xfId="0" applyFont="1" applyBorder="1" applyAlignment="1">
      <alignment horizontal="left" vertical="top" wrapText="1"/>
    </xf>
    <xf numFmtId="0" fontId="2" fillId="4" borderId="8" xfId="0" applyFont="1" applyFill="1" applyBorder="1" applyAlignment="1">
      <alignment horizontal="center" vertical="center" textRotation="90" wrapText="1"/>
    </xf>
    <xf numFmtId="0" fontId="2" fillId="5" borderId="0" xfId="0" applyFont="1" applyFill="1" applyAlignment="1">
      <alignment horizontal="center" vertical="center" wrapText="1"/>
    </xf>
    <xf numFmtId="0" fontId="9" fillId="0" borderId="6" xfId="0" applyFont="1" applyBorder="1" applyAlignment="1">
      <alignment horizontal="left" vertical="top" wrapText="1"/>
    </xf>
    <xf numFmtId="0" fontId="9" fillId="0" borderId="9" xfId="0" applyFont="1" applyBorder="1" applyAlignment="1">
      <alignment horizontal="left" vertical="top" wrapText="1"/>
    </xf>
    <xf numFmtId="0" fontId="9" fillId="0" borderId="10" xfId="0" applyFont="1" applyBorder="1" applyAlignment="1">
      <alignment horizontal="left" vertical="top" wrapText="1"/>
    </xf>
    <xf numFmtId="0" fontId="12" fillId="0" borderId="5" xfId="0" applyFont="1" applyBorder="1" applyAlignment="1">
      <alignment horizontal="left" vertical="center" wrapText="1"/>
    </xf>
  </cellXfs>
  <cellStyles count="2">
    <cellStyle name="Normal" xfId="0" builtinId="0"/>
    <cellStyle name="Pourcentage" xfId="1" builtinId="5"/>
  </cellStyles>
  <dxfs count="26">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s>
  <tableStyles count="0" defaultTableStyle="TableStyleMedium2" defaultPivotStyle="PivotStyleLight16"/>
  <colors>
    <mruColors>
      <color rgb="FF0000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7"/>
  <sheetViews>
    <sheetView tabSelected="1" topLeftCell="D1" zoomScale="110" zoomScaleNormal="110" workbookViewId="0">
      <selection activeCell="E2" sqref="E2"/>
    </sheetView>
  </sheetViews>
  <sheetFormatPr baseColWidth="10" defaultColWidth="10.81640625" defaultRowHeight="15"/>
  <cols>
    <col min="1" max="1" width="15" style="1" customWidth="1"/>
    <col min="2" max="2" width="10.36328125" style="1" bestFit="1" customWidth="1"/>
    <col min="3" max="3" width="59.81640625" style="1" customWidth="1"/>
    <col min="4" max="4" width="15.1796875" style="1" bestFit="1" customWidth="1"/>
    <col min="5" max="5" width="89" style="1" customWidth="1"/>
    <col min="6" max="6" width="17.1796875" style="1" customWidth="1"/>
    <col min="7" max="16384" width="10.81640625" style="1"/>
  </cols>
  <sheetData>
    <row r="1" spans="1:6" ht="31.95" customHeight="1">
      <c r="A1" s="41" t="s">
        <v>244</v>
      </c>
      <c r="B1" s="41"/>
      <c r="C1" s="41"/>
      <c r="D1" s="41"/>
    </row>
    <row r="2" spans="1:6" ht="17.399999999999999">
      <c r="A2" s="45" t="s">
        <v>242</v>
      </c>
      <c r="B2" s="45"/>
      <c r="C2" s="45"/>
      <c r="D2" s="19" t="s">
        <v>243</v>
      </c>
      <c r="E2" s="19" t="s">
        <v>283</v>
      </c>
    </row>
    <row r="3" spans="1:6" ht="17.399999999999999">
      <c r="A3" s="39" t="s">
        <v>234</v>
      </c>
      <c r="B3" s="39"/>
      <c r="C3" s="39"/>
      <c r="D3" s="8">
        <v>45946</v>
      </c>
      <c r="E3" s="8">
        <v>46045</v>
      </c>
    </row>
    <row r="4" spans="1:6" ht="17.399999999999999">
      <c r="A4" s="42" t="s">
        <v>238</v>
      </c>
      <c r="B4" s="43"/>
      <c r="C4" s="44"/>
      <c r="D4" s="13" t="s">
        <v>245</v>
      </c>
      <c r="E4" s="20" t="s">
        <v>282</v>
      </c>
    </row>
    <row r="5" spans="1:6" ht="16.05" customHeight="1">
      <c r="A5" s="39" t="s">
        <v>230</v>
      </c>
      <c r="B5" s="39"/>
      <c r="C5" s="39"/>
      <c r="D5" s="9">
        <f xml:space="preserve"> COUNTIF($D$14:$D$119,"Conforme")</f>
        <v>12</v>
      </c>
      <c r="E5" s="9">
        <v>19</v>
      </c>
    </row>
    <row r="6" spans="1:6" ht="17.399999999999999">
      <c r="A6" s="39" t="s">
        <v>231</v>
      </c>
      <c r="B6" s="39"/>
      <c r="C6" s="39"/>
      <c r="D6" s="9">
        <f xml:space="preserve"> COUNTIF($D$14:$D$119,"Non conforme")</f>
        <v>7</v>
      </c>
      <c r="E6" s="9">
        <v>0</v>
      </c>
    </row>
    <row r="7" spans="1:6" ht="17.399999999999999">
      <c r="A7" s="39" t="s">
        <v>237</v>
      </c>
      <c r="B7" s="39"/>
      <c r="C7" s="39"/>
      <c r="D7" s="9">
        <f xml:space="preserve"> COUNTIF($D$14:$D$119,"Non applicable")</f>
        <v>87</v>
      </c>
      <c r="E7" s="9">
        <v>87</v>
      </c>
    </row>
    <row r="8" spans="1:6" ht="17.399999999999999">
      <c r="A8" s="39" t="s">
        <v>232</v>
      </c>
      <c r="B8" s="39"/>
      <c r="C8" s="39"/>
      <c r="D8" s="9">
        <f xml:space="preserve"> COUNTIF($D$14:$D$119,"Dérogé")</f>
        <v>0</v>
      </c>
      <c r="E8" s="9">
        <v>0</v>
      </c>
    </row>
    <row r="9" spans="1:6" ht="17.399999999999999">
      <c r="A9" s="39" t="s">
        <v>233</v>
      </c>
      <c r="B9" s="39"/>
      <c r="C9" s="39"/>
      <c r="D9" s="9">
        <f xml:space="preserve"> COUNTIF($D$14:$D$119,"Non testé")</f>
        <v>0</v>
      </c>
      <c r="E9" s="9">
        <v>0</v>
      </c>
    </row>
    <row r="10" spans="1:6" ht="19.05" customHeight="1">
      <c r="A10" s="28" t="s">
        <v>239</v>
      </c>
      <c r="B10" s="29"/>
      <c r="C10" s="30"/>
      <c r="D10" s="14">
        <f>IF(SUM(D5:D6)&gt;0,D5/SUM(D5:D6),"")</f>
        <v>0.63157894736842102</v>
      </c>
      <c r="E10" s="21">
        <v>1</v>
      </c>
    </row>
    <row r="11" spans="1:6" ht="19.05" customHeight="1">
      <c r="A11" s="28" t="s">
        <v>240</v>
      </c>
      <c r="B11" s="29"/>
      <c r="C11" s="30"/>
      <c r="D11" s="14">
        <f>IF(SUM(D5:D6)&gt;0,1-ROUND(D10,2),"")</f>
        <v>0.37</v>
      </c>
      <c r="E11" s="21">
        <v>0</v>
      </c>
    </row>
    <row r="12" spans="1:6">
      <c r="A12" s="7"/>
      <c r="B12" s="7"/>
      <c r="C12" s="7"/>
    </row>
    <row r="13" spans="1:6" ht="17.399999999999999">
      <c r="A13" s="4" t="s">
        <v>0</v>
      </c>
      <c r="B13" s="4" t="s">
        <v>229</v>
      </c>
      <c r="C13" s="4" t="s">
        <v>1</v>
      </c>
      <c r="D13" s="4" t="s">
        <v>227</v>
      </c>
      <c r="E13" s="6" t="s">
        <v>228</v>
      </c>
      <c r="F13" s="17" t="s">
        <v>241</v>
      </c>
    </row>
    <row r="14" spans="1:6" ht="17.399999999999999">
      <c r="A14" s="40" t="s">
        <v>2</v>
      </c>
      <c r="B14" s="2" t="s">
        <v>3</v>
      </c>
      <c r="C14" s="3" t="s">
        <v>4</v>
      </c>
      <c r="D14" s="5" t="s">
        <v>255</v>
      </c>
      <c r="E14" s="11"/>
      <c r="F14" s="18"/>
    </row>
    <row r="15" spans="1:6" ht="45">
      <c r="A15" s="26"/>
      <c r="B15" s="2" t="s">
        <v>5</v>
      </c>
      <c r="C15" s="3" t="s">
        <v>6</v>
      </c>
      <c r="D15" s="5" t="s">
        <v>257</v>
      </c>
      <c r="E15" s="12" t="s">
        <v>262</v>
      </c>
      <c r="F15" s="23" t="s">
        <v>277</v>
      </c>
    </row>
    <row r="16" spans="1:6" ht="30">
      <c r="A16" s="26"/>
      <c r="B16" s="2" t="s">
        <v>7</v>
      </c>
      <c r="C16" s="3" t="s">
        <v>8</v>
      </c>
      <c r="D16" s="5" t="s">
        <v>255</v>
      </c>
      <c r="E16" s="11"/>
      <c r="F16" s="18"/>
    </row>
    <row r="17" spans="1:6" ht="45">
      <c r="A17" s="26"/>
      <c r="B17" s="2" t="s">
        <v>9</v>
      </c>
      <c r="C17" s="3" t="s">
        <v>10</v>
      </c>
      <c r="D17" s="5" t="s">
        <v>255</v>
      </c>
      <c r="E17" s="11"/>
      <c r="F17" s="18"/>
    </row>
    <row r="18" spans="1:6" ht="30">
      <c r="A18" s="26"/>
      <c r="B18" s="2" t="s">
        <v>11</v>
      </c>
      <c r="C18" s="3" t="s">
        <v>12</v>
      </c>
      <c r="D18" s="5" t="s">
        <v>255</v>
      </c>
      <c r="E18" s="11"/>
      <c r="F18" s="18"/>
    </row>
    <row r="19" spans="1:6" ht="30">
      <c r="A19" s="26"/>
      <c r="B19" s="2" t="s">
        <v>13</v>
      </c>
      <c r="C19" s="3" t="s">
        <v>14</v>
      </c>
      <c r="D19" s="5" t="s">
        <v>255</v>
      </c>
      <c r="E19" s="11"/>
      <c r="F19" s="18"/>
    </row>
    <row r="20" spans="1:6" ht="30">
      <c r="A20" s="26"/>
      <c r="B20" s="2" t="s">
        <v>15</v>
      </c>
      <c r="C20" s="3" t="s">
        <v>16</v>
      </c>
      <c r="D20" s="5" t="s">
        <v>255</v>
      </c>
      <c r="E20" s="11"/>
      <c r="F20" s="18"/>
    </row>
    <row r="21" spans="1:6" ht="45">
      <c r="A21" s="26"/>
      <c r="B21" s="2" t="s">
        <v>17</v>
      </c>
      <c r="C21" s="3" t="s">
        <v>18</v>
      </c>
      <c r="D21" s="5" t="s">
        <v>255</v>
      </c>
      <c r="E21" s="11"/>
      <c r="F21" s="18"/>
    </row>
    <row r="22" spans="1:6" ht="30">
      <c r="A22" s="27"/>
      <c r="B22" s="2" t="s">
        <v>19</v>
      </c>
      <c r="C22" s="3" t="s">
        <v>20</v>
      </c>
      <c r="D22" s="5" t="s">
        <v>255</v>
      </c>
      <c r="E22" s="11"/>
      <c r="F22" s="18"/>
    </row>
    <row r="23" spans="1:6" ht="17.399999999999999">
      <c r="A23" s="25" t="s">
        <v>21</v>
      </c>
      <c r="B23" s="2" t="s">
        <v>22</v>
      </c>
      <c r="C23" s="3" t="s">
        <v>23</v>
      </c>
      <c r="D23" s="5" t="s">
        <v>255</v>
      </c>
      <c r="E23" s="11"/>
      <c r="F23" s="18"/>
    </row>
    <row r="24" spans="1:6" ht="30">
      <c r="A24" s="27"/>
      <c r="B24" s="2" t="s">
        <v>24</v>
      </c>
      <c r="C24" s="3" t="s">
        <v>25</v>
      </c>
      <c r="D24" s="5" t="s">
        <v>255</v>
      </c>
      <c r="E24" s="11"/>
      <c r="F24" s="18"/>
    </row>
    <row r="25" spans="1:6" ht="30">
      <c r="A25" s="25" t="s">
        <v>26</v>
      </c>
      <c r="B25" s="2" t="s">
        <v>27</v>
      </c>
      <c r="C25" s="3" t="s">
        <v>28</v>
      </c>
      <c r="D25" s="5" t="s">
        <v>255</v>
      </c>
      <c r="E25" s="11"/>
      <c r="F25" s="18"/>
    </row>
    <row r="26" spans="1:6" ht="165">
      <c r="A26" s="26"/>
      <c r="B26" s="2" t="s">
        <v>29</v>
      </c>
      <c r="C26" s="3" t="s">
        <v>30</v>
      </c>
      <c r="D26" s="5" t="s">
        <v>254</v>
      </c>
      <c r="E26" s="11" t="s">
        <v>258</v>
      </c>
      <c r="F26" s="18"/>
    </row>
    <row r="27" spans="1:6" ht="315">
      <c r="A27" s="27"/>
      <c r="B27" s="2" t="s">
        <v>31</v>
      </c>
      <c r="C27" s="3" t="s">
        <v>32</v>
      </c>
      <c r="D27" s="5" t="s">
        <v>257</v>
      </c>
      <c r="E27" s="11" t="s">
        <v>259</v>
      </c>
      <c r="F27" s="23" t="s">
        <v>276</v>
      </c>
    </row>
    <row r="28" spans="1:6" ht="30">
      <c r="A28" s="25" t="s">
        <v>33</v>
      </c>
      <c r="B28" s="2" t="s">
        <v>34</v>
      </c>
      <c r="C28" s="3" t="s">
        <v>35</v>
      </c>
      <c r="D28" s="5" t="s">
        <v>255</v>
      </c>
      <c r="E28" s="11"/>
      <c r="F28" s="18"/>
    </row>
    <row r="29" spans="1:6" ht="45">
      <c r="A29" s="26"/>
      <c r="B29" s="2" t="s">
        <v>36</v>
      </c>
      <c r="C29" s="3" t="s">
        <v>37</v>
      </c>
      <c r="D29" s="5" t="s">
        <v>255</v>
      </c>
      <c r="E29" s="11"/>
      <c r="F29" s="18"/>
    </row>
    <row r="30" spans="1:6" ht="30">
      <c r="A30" s="26"/>
      <c r="B30" s="2" t="s">
        <v>38</v>
      </c>
      <c r="C30" s="3" t="s">
        <v>39</v>
      </c>
      <c r="D30" s="5" t="s">
        <v>255</v>
      </c>
      <c r="E30" s="11"/>
      <c r="F30" s="18"/>
    </row>
    <row r="31" spans="1:6" ht="30">
      <c r="A31" s="26"/>
      <c r="B31" s="2" t="s">
        <v>40</v>
      </c>
      <c r="C31" s="3" t="s">
        <v>41</v>
      </c>
      <c r="D31" s="5" t="s">
        <v>255</v>
      </c>
      <c r="E31" s="11"/>
      <c r="F31" s="18"/>
    </row>
    <row r="32" spans="1:6" ht="30">
      <c r="A32" s="26"/>
      <c r="B32" s="2" t="s">
        <v>42</v>
      </c>
      <c r="C32" s="3" t="s">
        <v>43</v>
      </c>
      <c r="D32" s="5" t="s">
        <v>255</v>
      </c>
      <c r="E32" s="11"/>
      <c r="F32" s="18"/>
    </row>
    <row r="33" spans="1:6" ht="30">
      <c r="A33" s="26"/>
      <c r="B33" s="2" t="s">
        <v>44</v>
      </c>
      <c r="C33" s="3" t="s">
        <v>45</v>
      </c>
      <c r="D33" s="5" t="s">
        <v>255</v>
      </c>
      <c r="E33" s="11"/>
      <c r="F33" s="18"/>
    </row>
    <row r="34" spans="1:6" ht="30">
      <c r="A34" s="26"/>
      <c r="B34" s="2" t="s">
        <v>46</v>
      </c>
      <c r="C34" s="3" t="s">
        <v>47</v>
      </c>
      <c r="D34" s="5" t="s">
        <v>255</v>
      </c>
      <c r="E34" s="11"/>
      <c r="F34" s="18"/>
    </row>
    <row r="35" spans="1:6" ht="30">
      <c r="A35" s="26"/>
      <c r="B35" s="2" t="s">
        <v>48</v>
      </c>
      <c r="C35" s="3" t="s">
        <v>49</v>
      </c>
      <c r="D35" s="5" t="s">
        <v>255</v>
      </c>
      <c r="E35" s="11"/>
      <c r="F35" s="18"/>
    </row>
    <row r="36" spans="1:6" ht="30">
      <c r="A36" s="26"/>
      <c r="B36" s="2" t="s">
        <v>50</v>
      </c>
      <c r="C36" s="3" t="s">
        <v>51</v>
      </c>
      <c r="D36" s="5" t="s">
        <v>255</v>
      </c>
      <c r="E36" s="11"/>
      <c r="F36" s="18"/>
    </row>
    <row r="37" spans="1:6" ht="30">
      <c r="A37" s="26"/>
      <c r="B37" s="2" t="s">
        <v>52</v>
      </c>
      <c r="C37" s="3" t="s">
        <v>53</v>
      </c>
      <c r="D37" s="5" t="s">
        <v>255</v>
      </c>
      <c r="E37" s="11"/>
      <c r="F37" s="18"/>
    </row>
    <row r="38" spans="1:6" ht="30">
      <c r="A38" s="26"/>
      <c r="B38" s="2" t="s">
        <v>54</v>
      </c>
      <c r="C38" s="3" t="s">
        <v>55</v>
      </c>
      <c r="D38" s="5" t="s">
        <v>255</v>
      </c>
      <c r="E38" s="11"/>
      <c r="F38" s="18"/>
    </row>
    <row r="39" spans="1:6" ht="30">
      <c r="A39" s="26"/>
      <c r="B39" s="2" t="s">
        <v>56</v>
      </c>
      <c r="C39" s="3" t="s">
        <v>57</v>
      </c>
      <c r="D39" s="5" t="s">
        <v>255</v>
      </c>
      <c r="E39" s="11"/>
      <c r="F39" s="18"/>
    </row>
    <row r="40" spans="1:6" ht="30">
      <c r="A40" s="27"/>
      <c r="B40" s="2" t="s">
        <v>58</v>
      </c>
      <c r="C40" s="3" t="s">
        <v>59</v>
      </c>
      <c r="D40" s="5" t="s">
        <v>255</v>
      </c>
      <c r="E40" s="11"/>
      <c r="F40" s="18"/>
    </row>
    <row r="41" spans="1:6" ht="17.399999999999999">
      <c r="A41" s="25" t="s">
        <v>60</v>
      </c>
      <c r="B41" s="2" t="s">
        <v>61</v>
      </c>
      <c r="C41" s="3" t="s">
        <v>62</v>
      </c>
      <c r="D41" s="5" t="s">
        <v>255</v>
      </c>
      <c r="E41" s="11"/>
      <c r="F41" s="18"/>
    </row>
    <row r="42" spans="1:6" ht="30">
      <c r="A42" s="26"/>
      <c r="B42" s="2" t="s">
        <v>63</v>
      </c>
      <c r="C42" s="3" t="s">
        <v>64</v>
      </c>
      <c r="D42" s="5" t="s">
        <v>255</v>
      </c>
      <c r="E42" s="11"/>
      <c r="F42" s="18"/>
    </row>
    <row r="43" spans="1:6" ht="30">
      <c r="A43" s="26"/>
      <c r="B43" s="2" t="s">
        <v>65</v>
      </c>
      <c r="C43" s="3" t="s">
        <v>66</v>
      </c>
      <c r="D43" s="5" t="s">
        <v>255</v>
      </c>
      <c r="E43" s="11"/>
      <c r="F43" s="18"/>
    </row>
    <row r="44" spans="1:6" ht="30">
      <c r="A44" s="26"/>
      <c r="B44" s="2" t="s">
        <v>67</v>
      </c>
      <c r="C44" s="3" t="s">
        <v>68</v>
      </c>
      <c r="D44" s="5" t="s">
        <v>255</v>
      </c>
      <c r="E44" s="11"/>
      <c r="F44" s="18"/>
    </row>
    <row r="45" spans="1:6" ht="17.399999999999999">
      <c r="A45" s="26"/>
      <c r="B45" s="2" t="s">
        <v>69</v>
      </c>
      <c r="C45" s="3" t="s">
        <v>70</v>
      </c>
      <c r="D45" s="5" t="s">
        <v>255</v>
      </c>
      <c r="E45" s="11"/>
      <c r="F45" s="18"/>
    </row>
    <row r="46" spans="1:6" ht="30">
      <c r="A46" s="26"/>
      <c r="B46" s="2" t="s">
        <v>71</v>
      </c>
      <c r="C46" s="3" t="s">
        <v>72</v>
      </c>
      <c r="D46" s="5" t="s">
        <v>255</v>
      </c>
      <c r="E46" s="11"/>
      <c r="F46" s="18"/>
    </row>
    <row r="47" spans="1:6" ht="45">
      <c r="A47" s="26"/>
      <c r="B47" s="2" t="s">
        <v>73</v>
      </c>
      <c r="C47" s="3" t="s">
        <v>74</v>
      </c>
      <c r="D47" s="5" t="s">
        <v>255</v>
      </c>
      <c r="E47" s="11"/>
      <c r="F47" s="18"/>
    </row>
    <row r="48" spans="1:6" ht="30">
      <c r="A48" s="27"/>
      <c r="B48" s="2" t="s">
        <v>75</v>
      </c>
      <c r="C48" s="3" t="s">
        <v>76</v>
      </c>
      <c r="D48" s="5" t="s">
        <v>255</v>
      </c>
      <c r="E48" s="11"/>
      <c r="F48" s="18"/>
    </row>
    <row r="49" spans="1:6" ht="17.399999999999999">
      <c r="A49" s="25" t="s">
        <v>77</v>
      </c>
      <c r="B49" s="2" t="s">
        <v>78</v>
      </c>
      <c r="C49" s="3" t="s">
        <v>79</v>
      </c>
      <c r="D49" s="5" t="s">
        <v>255</v>
      </c>
      <c r="E49" s="11" t="s">
        <v>260</v>
      </c>
      <c r="F49" s="18"/>
    </row>
    <row r="50" spans="1:6" ht="17.399999999999999">
      <c r="A50" s="27"/>
      <c r="B50" s="2" t="s">
        <v>80</v>
      </c>
      <c r="C50" s="3" t="s">
        <v>81</v>
      </c>
      <c r="D50" s="5" t="s">
        <v>254</v>
      </c>
      <c r="E50" s="11" t="s">
        <v>261</v>
      </c>
      <c r="F50" s="18"/>
    </row>
    <row r="51" spans="1:6" ht="408.6" customHeight="1">
      <c r="A51" s="25" t="s">
        <v>82</v>
      </c>
      <c r="B51" s="2" t="s">
        <v>83</v>
      </c>
      <c r="C51" s="3" t="s">
        <v>84</v>
      </c>
      <c r="D51" s="5" t="s">
        <v>257</v>
      </c>
      <c r="E51" s="11" t="s">
        <v>275</v>
      </c>
      <c r="F51" s="24" t="s">
        <v>279</v>
      </c>
    </row>
    <row r="52" spans="1:6" ht="30" hidden="1">
      <c r="A52" s="26"/>
      <c r="B52" s="2" t="s">
        <v>85</v>
      </c>
      <c r="C52" s="3" t="s">
        <v>86</v>
      </c>
      <c r="D52" s="5" t="s">
        <v>255</v>
      </c>
      <c r="E52" s="11"/>
      <c r="F52" s="18"/>
    </row>
    <row r="53" spans="1:6" ht="210">
      <c r="A53" s="26"/>
      <c r="B53" s="2" t="s">
        <v>87</v>
      </c>
      <c r="C53" s="3" t="s">
        <v>88</v>
      </c>
      <c r="D53" s="5" t="s">
        <v>254</v>
      </c>
      <c r="E53" s="11" t="s">
        <v>253</v>
      </c>
      <c r="F53" s="18"/>
    </row>
    <row r="54" spans="1:6" ht="30">
      <c r="A54" s="26"/>
      <c r="B54" s="2" t="s">
        <v>89</v>
      </c>
      <c r="C54" s="3" t="s">
        <v>90</v>
      </c>
      <c r="D54" s="5" t="s">
        <v>255</v>
      </c>
      <c r="E54" s="11"/>
      <c r="F54" s="18"/>
    </row>
    <row r="55" spans="1:6" ht="30">
      <c r="A55" s="27"/>
      <c r="B55" s="2" t="s">
        <v>91</v>
      </c>
      <c r="C55" s="3" t="s">
        <v>92</v>
      </c>
      <c r="D55" s="5" t="s">
        <v>255</v>
      </c>
      <c r="E55" s="11"/>
      <c r="F55" s="18"/>
    </row>
    <row r="56" spans="1:6" ht="17.399999999999999">
      <c r="A56" s="25" t="s">
        <v>93</v>
      </c>
      <c r="B56" s="2" t="s">
        <v>94</v>
      </c>
      <c r="C56" s="3" t="s">
        <v>95</v>
      </c>
      <c r="D56" s="5" t="s">
        <v>255</v>
      </c>
      <c r="E56" s="11"/>
      <c r="F56" s="18"/>
    </row>
    <row r="57" spans="1:6" ht="45">
      <c r="A57" s="26"/>
      <c r="B57" s="2" t="s">
        <v>96</v>
      </c>
      <c r="C57" s="3" t="s">
        <v>97</v>
      </c>
      <c r="D57" s="5" t="s">
        <v>257</v>
      </c>
      <c r="E57" s="11" t="s">
        <v>274</v>
      </c>
      <c r="F57" s="23" t="s">
        <v>278</v>
      </c>
    </row>
    <row r="58" spans="1:6" ht="17.399999999999999">
      <c r="A58" s="26"/>
      <c r="B58" s="2" t="s">
        <v>98</v>
      </c>
      <c r="C58" s="3" t="s">
        <v>99</v>
      </c>
      <c r="D58" s="5" t="s">
        <v>255</v>
      </c>
      <c r="E58" s="11"/>
      <c r="F58" s="18"/>
    </row>
    <row r="59" spans="1:6" ht="30">
      <c r="A59" s="26"/>
      <c r="B59" s="2" t="s">
        <v>100</v>
      </c>
      <c r="C59" s="3" t="s">
        <v>101</v>
      </c>
      <c r="D59" s="5" t="s">
        <v>255</v>
      </c>
      <c r="E59" s="11"/>
      <c r="F59" s="18"/>
    </row>
    <row r="60" spans="1:6" ht="17.399999999999999">
      <c r="A60" s="26"/>
      <c r="B60" s="2" t="s">
        <v>102</v>
      </c>
      <c r="C60" s="3" t="s">
        <v>103</v>
      </c>
      <c r="D60" s="5" t="s">
        <v>255</v>
      </c>
      <c r="E60" s="11"/>
      <c r="F60" s="18"/>
    </row>
    <row r="61" spans="1:6" ht="17.399999999999999">
      <c r="A61" s="26"/>
      <c r="B61" s="2" t="s">
        <v>104</v>
      </c>
      <c r="C61" s="3" t="s">
        <v>105</v>
      </c>
      <c r="D61" s="5" t="s">
        <v>255</v>
      </c>
      <c r="E61" s="11"/>
      <c r="F61" s="18"/>
    </row>
    <row r="62" spans="1:6" ht="30">
      <c r="A62" s="26"/>
      <c r="B62" s="2" t="s">
        <v>106</v>
      </c>
      <c r="C62" s="3" t="s">
        <v>107</v>
      </c>
      <c r="D62" s="5" t="s">
        <v>255</v>
      </c>
      <c r="E62" s="11"/>
      <c r="F62" s="18"/>
    </row>
    <row r="63" spans="1:6" ht="30">
      <c r="A63" s="26"/>
      <c r="B63" s="2" t="s">
        <v>108</v>
      </c>
      <c r="C63" s="3" t="s">
        <v>109</v>
      </c>
      <c r="D63" s="5" t="s">
        <v>255</v>
      </c>
      <c r="E63" s="11"/>
      <c r="F63" s="18"/>
    </row>
    <row r="64" spans="1:6" ht="30">
      <c r="A64" s="26"/>
      <c r="B64" s="2" t="s">
        <v>110</v>
      </c>
      <c r="C64" s="3" t="s">
        <v>111</v>
      </c>
      <c r="D64" s="5" t="s">
        <v>255</v>
      </c>
      <c r="E64" s="11"/>
      <c r="F64" s="18"/>
    </row>
    <row r="65" spans="1:6" ht="30">
      <c r="A65" s="27"/>
      <c r="B65" s="2" t="s">
        <v>112</v>
      </c>
      <c r="C65" s="3" t="s">
        <v>113</v>
      </c>
      <c r="D65" s="5" t="s">
        <v>255</v>
      </c>
      <c r="E65" s="11"/>
      <c r="F65" s="18"/>
    </row>
    <row r="66" spans="1:6" ht="30">
      <c r="A66" s="25" t="s">
        <v>114</v>
      </c>
      <c r="B66" s="2" t="s">
        <v>115</v>
      </c>
      <c r="C66" s="3" t="s">
        <v>116</v>
      </c>
      <c r="D66" s="5" t="s">
        <v>255</v>
      </c>
      <c r="E66" s="11"/>
      <c r="F66" s="18"/>
    </row>
    <row r="67" spans="1:6" ht="30">
      <c r="A67" s="26"/>
      <c r="B67" s="2" t="s">
        <v>117</v>
      </c>
      <c r="C67" s="3" t="s">
        <v>118</v>
      </c>
      <c r="D67" s="5" t="s">
        <v>255</v>
      </c>
      <c r="E67" s="11"/>
      <c r="F67" s="18"/>
    </row>
    <row r="68" spans="1:6" ht="165">
      <c r="A68" s="26"/>
      <c r="B68" s="2" t="s">
        <v>119</v>
      </c>
      <c r="C68" s="3" t="s">
        <v>120</v>
      </c>
      <c r="D68" s="5" t="s">
        <v>257</v>
      </c>
      <c r="E68" s="11" t="s">
        <v>256</v>
      </c>
      <c r="F68" s="23" t="s">
        <v>280</v>
      </c>
    </row>
    <row r="69" spans="1:6" ht="17.399999999999999">
      <c r="A69" s="27"/>
      <c r="B69" s="2" t="s">
        <v>121</v>
      </c>
      <c r="C69" s="3" t="s">
        <v>122</v>
      </c>
      <c r="D69" s="5" t="s">
        <v>255</v>
      </c>
      <c r="E69" s="11"/>
      <c r="F69" s="18"/>
    </row>
    <row r="70" spans="1:6" ht="60">
      <c r="A70" s="25" t="s">
        <v>123</v>
      </c>
      <c r="B70" s="2" t="s">
        <v>124</v>
      </c>
      <c r="C70" s="3" t="s">
        <v>125</v>
      </c>
      <c r="D70" s="5" t="s">
        <v>254</v>
      </c>
      <c r="E70" s="16" t="s">
        <v>263</v>
      </c>
      <c r="F70" s="18"/>
    </row>
    <row r="71" spans="1:6" ht="30">
      <c r="A71" s="26"/>
      <c r="B71" s="2" t="s">
        <v>126</v>
      </c>
      <c r="C71" s="3" t="s">
        <v>127</v>
      </c>
      <c r="D71" s="5" t="s">
        <v>254</v>
      </c>
      <c r="E71" s="15" t="s">
        <v>264</v>
      </c>
      <c r="F71" s="18"/>
    </row>
    <row r="72" spans="1:6" ht="30">
      <c r="A72" s="26"/>
      <c r="B72" s="2" t="s">
        <v>128</v>
      </c>
      <c r="C72" s="3" t="s">
        <v>129</v>
      </c>
      <c r="D72" s="5" t="s">
        <v>254</v>
      </c>
      <c r="E72" s="16" t="s">
        <v>265</v>
      </c>
      <c r="F72" s="18"/>
    </row>
    <row r="73" spans="1:6" ht="45">
      <c r="A73" s="26"/>
      <c r="B73" s="2" t="s">
        <v>130</v>
      </c>
      <c r="C73" s="3" t="s">
        <v>131</v>
      </c>
      <c r="D73" s="5" t="s">
        <v>254</v>
      </c>
      <c r="E73" s="15" t="s">
        <v>266</v>
      </c>
      <c r="F73" s="18"/>
    </row>
    <row r="74" spans="1:6" ht="30">
      <c r="A74" s="26"/>
      <c r="B74" s="2" t="s">
        <v>132</v>
      </c>
      <c r="C74" s="3" t="s">
        <v>133</v>
      </c>
      <c r="D74" s="5" t="s">
        <v>254</v>
      </c>
      <c r="E74" s="11" t="s">
        <v>273</v>
      </c>
      <c r="F74" s="18"/>
    </row>
    <row r="75" spans="1:6" ht="30">
      <c r="A75" s="26"/>
      <c r="B75" s="2" t="s">
        <v>134</v>
      </c>
      <c r="C75" s="3" t="s">
        <v>135</v>
      </c>
      <c r="D75" s="5" t="s">
        <v>255</v>
      </c>
      <c r="E75" s="11"/>
      <c r="F75" s="18"/>
    </row>
    <row r="76" spans="1:6" ht="60">
      <c r="A76" s="26"/>
      <c r="B76" s="2" t="s">
        <v>136</v>
      </c>
      <c r="C76" s="3" t="s">
        <v>137</v>
      </c>
      <c r="D76" s="5" t="s">
        <v>257</v>
      </c>
      <c r="E76" s="11" t="s">
        <v>267</v>
      </c>
      <c r="F76" s="23" t="s">
        <v>276</v>
      </c>
    </row>
    <row r="77" spans="1:6" ht="30">
      <c r="A77" s="26"/>
      <c r="B77" s="2" t="s">
        <v>138</v>
      </c>
      <c r="C77" s="3" t="s">
        <v>139</v>
      </c>
      <c r="D77" s="5" t="s">
        <v>255</v>
      </c>
      <c r="E77" s="11"/>
      <c r="F77" s="18"/>
    </row>
    <row r="78" spans="1:6" ht="45">
      <c r="A78" s="26"/>
      <c r="B78" s="2" t="s">
        <v>140</v>
      </c>
      <c r="C78" s="3" t="s">
        <v>141</v>
      </c>
      <c r="D78" s="5" t="s">
        <v>255</v>
      </c>
      <c r="E78" s="11"/>
      <c r="F78" s="18"/>
    </row>
    <row r="79" spans="1:6" ht="45">
      <c r="A79" s="26"/>
      <c r="B79" s="2" t="s">
        <v>142</v>
      </c>
      <c r="C79" s="3" t="s">
        <v>143</v>
      </c>
      <c r="D79" s="5" t="s">
        <v>255</v>
      </c>
      <c r="E79" s="11"/>
      <c r="F79" s="18"/>
    </row>
    <row r="80" spans="1:6" ht="75">
      <c r="A80" s="26"/>
      <c r="B80" s="2" t="s">
        <v>144</v>
      </c>
      <c r="C80" s="3" t="s">
        <v>145</v>
      </c>
      <c r="D80" s="5" t="s">
        <v>257</v>
      </c>
      <c r="E80" s="16" t="s">
        <v>269</v>
      </c>
      <c r="F80" s="23" t="s">
        <v>281</v>
      </c>
    </row>
    <row r="81" spans="1:6" ht="105">
      <c r="A81" s="26"/>
      <c r="B81" s="2" t="s">
        <v>146</v>
      </c>
      <c r="C81" s="3" t="s">
        <v>147</v>
      </c>
      <c r="D81" s="5" t="s">
        <v>254</v>
      </c>
      <c r="E81" s="16" t="s">
        <v>268</v>
      </c>
      <c r="F81" s="18"/>
    </row>
    <row r="82" spans="1:6" ht="45">
      <c r="A82" s="26"/>
      <c r="B82" s="2" t="s">
        <v>148</v>
      </c>
      <c r="C82" s="3" t="s">
        <v>149</v>
      </c>
      <c r="D82" s="5" t="s">
        <v>254</v>
      </c>
      <c r="E82" s="11" t="s">
        <v>272</v>
      </c>
      <c r="F82" s="18"/>
    </row>
    <row r="83" spans="1:6" ht="45">
      <c r="A83" s="27"/>
      <c r="B83" s="2" t="s">
        <v>150</v>
      </c>
      <c r="C83" s="3" t="s">
        <v>151</v>
      </c>
      <c r="D83" s="5" t="s">
        <v>255</v>
      </c>
      <c r="E83" s="11"/>
      <c r="F83" s="18"/>
    </row>
    <row r="84" spans="1:6" ht="17.399999999999999">
      <c r="A84" s="25" t="s">
        <v>152</v>
      </c>
      <c r="B84" s="2" t="s">
        <v>153</v>
      </c>
      <c r="C84" s="3" t="s">
        <v>154</v>
      </c>
      <c r="D84" s="5" t="s">
        <v>255</v>
      </c>
      <c r="E84" s="11"/>
      <c r="F84" s="18"/>
    </row>
    <row r="85" spans="1:6" ht="30">
      <c r="A85" s="26"/>
      <c r="B85" s="2" t="s">
        <v>155</v>
      </c>
      <c r="C85" s="3" t="s">
        <v>156</v>
      </c>
      <c r="D85" s="5" t="s">
        <v>255</v>
      </c>
      <c r="E85" s="11"/>
      <c r="F85" s="18"/>
    </row>
    <row r="86" spans="1:6" ht="45">
      <c r="A86" s="26"/>
      <c r="B86" s="2" t="s">
        <v>157</v>
      </c>
      <c r="C86" s="3" t="s">
        <v>158</v>
      </c>
      <c r="D86" s="5" t="s">
        <v>255</v>
      </c>
      <c r="E86" s="11"/>
      <c r="F86" s="18"/>
    </row>
    <row r="87" spans="1:6" ht="30">
      <c r="A87" s="26"/>
      <c r="B87" s="2" t="s">
        <v>159</v>
      </c>
      <c r="C87" s="3" t="s">
        <v>160</v>
      </c>
      <c r="D87" s="5" t="s">
        <v>255</v>
      </c>
      <c r="E87" s="11"/>
      <c r="F87" s="18"/>
    </row>
    <row r="88" spans="1:6" ht="30">
      <c r="A88" s="26"/>
      <c r="B88" s="2" t="s">
        <v>161</v>
      </c>
      <c r="C88" s="3" t="s">
        <v>162</v>
      </c>
      <c r="D88" s="5" t="s">
        <v>255</v>
      </c>
      <c r="E88" s="11"/>
      <c r="F88" s="18"/>
    </row>
    <row r="89" spans="1:6" ht="30">
      <c r="A89" s="26"/>
      <c r="B89" s="2" t="s">
        <v>163</v>
      </c>
      <c r="C89" s="3" t="s">
        <v>164</v>
      </c>
      <c r="D89" s="5" t="s">
        <v>255</v>
      </c>
      <c r="E89" s="11"/>
      <c r="F89" s="18"/>
    </row>
    <row r="90" spans="1:6" ht="30">
      <c r="A90" s="26"/>
      <c r="B90" s="2" t="s">
        <v>165</v>
      </c>
      <c r="C90" s="3" t="s">
        <v>166</v>
      </c>
      <c r="D90" s="5" t="s">
        <v>255</v>
      </c>
      <c r="E90" s="11"/>
      <c r="F90" s="18"/>
    </row>
    <row r="91" spans="1:6" ht="30">
      <c r="A91" s="26"/>
      <c r="B91" s="2" t="s">
        <v>167</v>
      </c>
      <c r="C91" s="3" t="s">
        <v>168</v>
      </c>
      <c r="D91" s="5" t="s">
        <v>255</v>
      </c>
      <c r="E91" s="11"/>
      <c r="F91" s="18"/>
    </row>
    <row r="92" spans="1:6" ht="30">
      <c r="A92" s="26"/>
      <c r="B92" s="2" t="s">
        <v>169</v>
      </c>
      <c r="C92" s="3" t="s">
        <v>170</v>
      </c>
      <c r="D92" s="5" t="s">
        <v>255</v>
      </c>
      <c r="E92" s="11"/>
      <c r="F92" s="18"/>
    </row>
    <row r="93" spans="1:6" ht="30">
      <c r="A93" s="26"/>
      <c r="B93" s="2" t="s">
        <v>171</v>
      </c>
      <c r="C93" s="3" t="s">
        <v>172</v>
      </c>
      <c r="D93" s="5" t="s">
        <v>255</v>
      </c>
      <c r="E93" s="11"/>
      <c r="F93" s="18"/>
    </row>
    <row r="94" spans="1:6" ht="30">
      <c r="A94" s="26"/>
      <c r="B94" s="2" t="s">
        <v>173</v>
      </c>
      <c r="C94" s="3" t="s">
        <v>174</v>
      </c>
      <c r="D94" s="5" t="s">
        <v>255</v>
      </c>
      <c r="E94" s="11"/>
      <c r="F94" s="18"/>
    </row>
    <row r="95" spans="1:6" ht="60">
      <c r="A95" s="26"/>
      <c r="B95" s="2" t="s">
        <v>175</v>
      </c>
      <c r="C95" s="3" t="s">
        <v>176</v>
      </c>
      <c r="D95" s="5" t="s">
        <v>255</v>
      </c>
      <c r="E95" s="11"/>
      <c r="F95" s="18"/>
    </row>
    <row r="96" spans="1:6" ht="30">
      <c r="A96" s="27"/>
      <c r="B96" s="2" t="s">
        <v>177</v>
      </c>
      <c r="C96" s="3" t="s">
        <v>178</v>
      </c>
      <c r="D96" s="5" t="s">
        <v>255</v>
      </c>
      <c r="E96" s="11"/>
      <c r="F96" s="18"/>
    </row>
    <row r="97" spans="1:6" ht="30">
      <c r="A97" s="25" t="s">
        <v>179</v>
      </c>
      <c r="B97" s="2" t="s">
        <v>180</v>
      </c>
      <c r="C97" s="3" t="s">
        <v>181</v>
      </c>
      <c r="D97" s="5" t="s">
        <v>255</v>
      </c>
      <c r="E97" s="11"/>
      <c r="F97" s="18"/>
    </row>
    <row r="98" spans="1:6" ht="30">
      <c r="A98" s="26"/>
      <c r="B98" s="2" t="s">
        <v>182</v>
      </c>
      <c r="C98" s="3" t="s">
        <v>183</v>
      </c>
      <c r="D98" s="5" t="s">
        <v>255</v>
      </c>
      <c r="E98" s="11"/>
      <c r="F98" s="18"/>
    </row>
    <row r="99" spans="1:6" ht="17.399999999999999">
      <c r="A99" s="26"/>
      <c r="B99" s="2" t="s">
        <v>184</v>
      </c>
      <c r="C99" s="3" t="s">
        <v>185</v>
      </c>
      <c r="D99" s="5" t="s">
        <v>255</v>
      </c>
      <c r="E99" s="11"/>
      <c r="F99" s="18"/>
    </row>
    <row r="100" spans="1:6" ht="30">
      <c r="A100" s="26"/>
      <c r="B100" s="2" t="s">
        <v>186</v>
      </c>
      <c r="C100" s="3" t="s">
        <v>187</v>
      </c>
      <c r="D100" s="5" t="s">
        <v>255</v>
      </c>
      <c r="E100" s="11"/>
      <c r="F100" s="18"/>
    </row>
    <row r="101" spans="1:6" ht="30">
      <c r="A101" s="26"/>
      <c r="B101" s="2" t="s">
        <v>188</v>
      </c>
      <c r="C101" s="3" t="s">
        <v>189</v>
      </c>
      <c r="D101" s="5" t="s">
        <v>255</v>
      </c>
      <c r="E101" s="11"/>
      <c r="F101" s="18"/>
    </row>
    <row r="102" spans="1:6" ht="60">
      <c r="A102" s="26"/>
      <c r="B102" s="2" t="s">
        <v>190</v>
      </c>
      <c r="C102" s="3" t="s">
        <v>191</v>
      </c>
      <c r="D102" s="5" t="s">
        <v>255</v>
      </c>
      <c r="E102" s="11"/>
      <c r="F102" s="18"/>
    </row>
    <row r="103" spans="1:6" ht="30">
      <c r="A103" s="26"/>
      <c r="B103" s="2" t="s">
        <v>192</v>
      </c>
      <c r="C103" s="3" t="s">
        <v>193</v>
      </c>
      <c r="D103" s="5" t="s">
        <v>255</v>
      </c>
      <c r="E103" s="11"/>
      <c r="F103" s="18"/>
    </row>
    <row r="104" spans="1:6" ht="17.399999999999999">
      <c r="A104" s="26"/>
      <c r="B104" s="2" t="s">
        <v>194</v>
      </c>
      <c r="C104" s="3" t="s">
        <v>195</v>
      </c>
      <c r="D104" s="5" t="s">
        <v>255</v>
      </c>
      <c r="E104" s="11"/>
      <c r="F104" s="18"/>
    </row>
    <row r="105" spans="1:6" ht="30">
      <c r="A105" s="26"/>
      <c r="B105" s="2" t="s">
        <v>196</v>
      </c>
      <c r="C105" s="3" t="s">
        <v>197</v>
      </c>
      <c r="D105" s="5" t="s">
        <v>254</v>
      </c>
      <c r="E105" s="11" t="s">
        <v>270</v>
      </c>
      <c r="F105" s="18"/>
    </row>
    <row r="106" spans="1:6" ht="45">
      <c r="A106" s="26"/>
      <c r="B106" s="2" t="s">
        <v>198</v>
      </c>
      <c r="C106" s="3" t="s">
        <v>199</v>
      </c>
      <c r="D106" s="5" t="s">
        <v>255</v>
      </c>
      <c r="E106" s="11"/>
      <c r="F106" s="18"/>
    </row>
    <row r="107" spans="1:6" ht="45">
      <c r="A107" s="27"/>
      <c r="B107" s="2" t="s">
        <v>200</v>
      </c>
      <c r="C107" s="3" t="s">
        <v>201</v>
      </c>
      <c r="D107" s="5" t="s">
        <v>254</v>
      </c>
      <c r="E107" s="11" t="s">
        <v>271</v>
      </c>
      <c r="F107" s="18"/>
    </row>
    <row r="108" spans="1:6" ht="30">
      <c r="A108" s="25" t="s">
        <v>202</v>
      </c>
      <c r="B108" s="2" t="s">
        <v>203</v>
      </c>
      <c r="C108" s="3" t="s">
        <v>204</v>
      </c>
      <c r="D108" s="5" t="s">
        <v>255</v>
      </c>
      <c r="E108" s="11"/>
      <c r="F108" s="18"/>
    </row>
    <row r="109" spans="1:6" ht="45">
      <c r="A109" s="26"/>
      <c r="B109" s="2" t="s">
        <v>205</v>
      </c>
      <c r="C109" s="3" t="s">
        <v>206</v>
      </c>
      <c r="D109" s="5" t="s">
        <v>255</v>
      </c>
      <c r="E109" s="11"/>
      <c r="F109" s="18"/>
    </row>
    <row r="110" spans="1:6" ht="45">
      <c r="A110" s="26"/>
      <c r="B110" s="2" t="s">
        <v>207</v>
      </c>
      <c r="C110" s="3" t="s">
        <v>208</v>
      </c>
      <c r="D110" s="5" t="s">
        <v>255</v>
      </c>
      <c r="E110" s="11"/>
      <c r="F110" s="18"/>
    </row>
    <row r="111" spans="1:6" ht="30">
      <c r="A111" s="26"/>
      <c r="B111" s="2" t="s">
        <v>209</v>
      </c>
      <c r="C111" s="3" t="s">
        <v>210</v>
      </c>
      <c r="D111" s="5" t="s">
        <v>255</v>
      </c>
      <c r="E111" s="11"/>
      <c r="F111" s="18"/>
    </row>
    <row r="112" spans="1:6" ht="30">
      <c r="A112" s="26"/>
      <c r="B112" s="2" t="s">
        <v>211</v>
      </c>
      <c r="C112" s="3" t="s">
        <v>212</v>
      </c>
      <c r="D112" s="5" t="s">
        <v>255</v>
      </c>
      <c r="E112" s="11"/>
      <c r="F112" s="18"/>
    </row>
    <row r="113" spans="1:6" ht="45">
      <c r="A113" s="26"/>
      <c r="B113" s="2" t="s">
        <v>213</v>
      </c>
      <c r="C113" s="3" t="s">
        <v>214</v>
      </c>
      <c r="D113" s="5" t="s">
        <v>255</v>
      </c>
      <c r="E113" s="11"/>
      <c r="F113" s="18"/>
    </row>
    <row r="114" spans="1:6" ht="30">
      <c r="A114" s="26"/>
      <c r="B114" s="2" t="s">
        <v>215</v>
      </c>
      <c r="C114" s="3" t="s">
        <v>216</v>
      </c>
      <c r="D114" s="5" t="s">
        <v>255</v>
      </c>
      <c r="E114" s="11"/>
      <c r="F114" s="18"/>
    </row>
    <row r="115" spans="1:6" ht="30">
      <c r="A115" s="26"/>
      <c r="B115" s="2" t="s">
        <v>217</v>
      </c>
      <c r="C115" s="3" t="s">
        <v>218</v>
      </c>
      <c r="D115" s="5" t="s">
        <v>255</v>
      </c>
      <c r="E115" s="11"/>
      <c r="F115" s="18"/>
    </row>
    <row r="116" spans="1:6" ht="30">
      <c r="A116" s="26"/>
      <c r="B116" s="2" t="s">
        <v>219</v>
      </c>
      <c r="C116" s="3" t="s">
        <v>220</v>
      </c>
      <c r="D116" s="5" t="s">
        <v>255</v>
      </c>
      <c r="E116" s="11"/>
      <c r="F116" s="18"/>
    </row>
    <row r="117" spans="1:6" ht="45">
      <c r="A117" s="26"/>
      <c r="B117" s="2" t="s">
        <v>221</v>
      </c>
      <c r="C117" s="3" t="s">
        <v>222</v>
      </c>
      <c r="D117" s="5" t="s">
        <v>255</v>
      </c>
      <c r="E117" s="11"/>
      <c r="F117" s="18"/>
    </row>
    <row r="118" spans="1:6" ht="45">
      <c r="A118" s="26"/>
      <c r="B118" s="2" t="s">
        <v>223</v>
      </c>
      <c r="C118" s="3" t="s">
        <v>224</v>
      </c>
      <c r="D118" s="5" t="s">
        <v>255</v>
      </c>
      <c r="E118" s="11"/>
      <c r="F118" s="18"/>
    </row>
    <row r="119" spans="1:6" ht="45">
      <c r="A119" s="27"/>
      <c r="B119" s="2" t="s">
        <v>225</v>
      </c>
      <c r="C119" s="3" t="s">
        <v>226</v>
      </c>
      <c r="D119" s="5" t="s">
        <v>255</v>
      </c>
      <c r="E119" s="11"/>
      <c r="F119" s="18"/>
    </row>
    <row r="123" spans="1:6">
      <c r="A123" s="38" t="s">
        <v>235</v>
      </c>
      <c r="B123" s="38"/>
      <c r="C123" s="38"/>
      <c r="D123" s="38"/>
      <c r="E123" s="10" t="s">
        <v>236</v>
      </c>
    </row>
    <row r="124" spans="1:6" ht="160.05000000000001" customHeight="1">
      <c r="A124" s="37" t="s">
        <v>252</v>
      </c>
      <c r="B124" s="37"/>
      <c r="C124" s="37"/>
      <c r="D124" s="37"/>
      <c r="E124" s="12" t="s">
        <v>251</v>
      </c>
    </row>
    <row r="125" spans="1:6" ht="61.95" customHeight="1">
      <c r="A125" s="34" t="s">
        <v>247</v>
      </c>
      <c r="B125" s="35"/>
      <c r="C125" s="35"/>
      <c r="D125" s="36"/>
      <c r="E125" s="12" t="s">
        <v>246</v>
      </c>
    </row>
    <row r="126" spans="1:6" ht="37.049999999999997" customHeight="1">
      <c r="A126" s="37" t="s">
        <v>248</v>
      </c>
      <c r="B126" s="37"/>
      <c r="C126" s="37"/>
      <c r="D126" s="37"/>
      <c r="E126" s="12" t="s">
        <v>246</v>
      </c>
    </row>
    <row r="127" spans="1:6" ht="115.95" customHeight="1">
      <c r="A127" s="31" t="s">
        <v>249</v>
      </c>
      <c r="B127" s="32"/>
      <c r="C127" s="32"/>
      <c r="D127" s="33"/>
      <c r="E127" s="22" t="s">
        <v>250</v>
      </c>
    </row>
  </sheetData>
  <mergeCells count="29">
    <mergeCell ref="A1:D1"/>
    <mergeCell ref="A5:C5"/>
    <mergeCell ref="A6:C6"/>
    <mergeCell ref="A8:C8"/>
    <mergeCell ref="A9:C9"/>
    <mergeCell ref="A3:C3"/>
    <mergeCell ref="A4:C4"/>
    <mergeCell ref="A2:C2"/>
    <mergeCell ref="A10:C10"/>
    <mergeCell ref="A7:C7"/>
    <mergeCell ref="A14:A22"/>
    <mergeCell ref="A23:A24"/>
    <mergeCell ref="A25:A27"/>
    <mergeCell ref="A28:A40"/>
    <mergeCell ref="A11:C11"/>
    <mergeCell ref="A127:D127"/>
    <mergeCell ref="A125:D125"/>
    <mergeCell ref="A126:D126"/>
    <mergeCell ref="A41:A48"/>
    <mergeCell ref="A123:D123"/>
    <mergeCell ref="A124:D124"/>
    <mergeCell ref="A97:A107"/>
    <mergeCell ref="A108:A119"/>
    <mergeCell ref="A49:A50"/>
    <mergeCell ref="A51:A55"/>
    <mergeCell ref="A56:A65"/>
    <mergeCell ref="A66:A69"/>
    <mergeCell ref="A70:A83"/>
    <mergeCell ref="A84:A96"/>
  </mergeCells>
  <conditionalFormatting sqref="D52:E52 D51 D53 D54:E69 D14:E50 D74:E79 D70:D73 D82:E104 D106:E106 D105 D108:E119 D107 D79:D81">
    <cfRule type="expression" dxfId="25" priority="23">
      <formula>$D14="Non testé"</formula>
    </cfRule>
    <cfRule type="expression" dxfId="24" priority="24">
      <formula>$D14="Dérogé"</formula>
    </cfRule>
    <cfRule type="expression" dxfId="23" priority="25">
      <formula>$D14="Conforme"</formula>
    </cfRule>
    <cfRule type="expression" dxfId="22" priority="26">
      <formula>$D14="Non conforme"</formula>
    </cfRule>
  </conditionalFormatting>
  <conditionalFormatting sqref="E51">
    <cfRule type="expression" dxfId="21" priority="19">
      <formula>$D51="Non testé"</formula>
    </cfRule>
    <cfRule type="expression" dxfId="20" priority="20">
      <formula>$D51="Dérogé"</formula>
    </cfRule>
    <cfRule type="expression" dxfId="19" priority="21">
      <formula>$D51="Conforme"</formula>
    </cfRule>
    <cfRule type="expression" dxfId="18" priority="22">
      <formula>$D51="Non conforme"</formula>
    </cfRule>
  </conditionalFormatting>
  <conditionalFormatting sqref="E53">
    <cfRule type="expression" dxfId="17" priority="15">
      <formula>$D53="Non testé"</formula>
    </cfRule>
    <cfRule type="expression" dxfId="16" priority="16">
      <formula>$D53="Dérogé"</formula>
    </cfRule>
    <cfRule type="expression" dxfId="15" priority="17">
      <formula>$D53="Conforme"</formula>
    </cfRule>
    <cfRule type="expression" dxfId="14" priority="18">
      <formula>$D53="Non conforme"</formula>
    </cfRule>
  </conditionalFormatting>
  <conditionalFormatting sqref="E70:E73">
    <cfRule type="expression" dxfId="13" priority="12">
      <formula>$D70="Non testé"</formula>
    </cfRule>
    <cfRule type="expression" dxfId="12" priority="13">
      <formula>$D70="Conforme"</formula>
    </cfRule>
    <cfRule type="expression" dxfId="11" priority="14">
      <formula>$D70="Non conforme"</formula>
    </cfRule>
  </conditionalFormatting>
  <conditionalFormatting sqref="E80:E81">
    <cfRule type="expression" dxfId="10" priority="9">
      <formula>$D80="Non testé"</formula>
    </cfRule>
    <cfRule type="expression" dxfId="9" priority="10">
      <formula>$D80="Conforme"</formula>
    </cfRule>
    <cfRule type="expression" dxfId="8" priority="11">
      <formula>$D80="Non conforme"</formula>
    </cfRule>
  </conditionalFormatting>
  <conditionalFormatting sqref="E105">
    <cfRule type="expression" dxfId="7" priority="5">
      <formula>$D105="Non testé"</formula>
    </cfRule>
    <cfRule type="expression" dxfId="6" priority="6">
      <formula>$D105="Dérogé"</formula>
    </cfRule>
    <cfRule type="expression" dxfId="5" priority="7">
      <formula>$D105="Conforme"</formula>
    </cfRule>
    <cfRule type="expression" dxfId="4" priority="8">
      <formula>$D105="Non conforme"</formula>
    </cfRule>
  </conditionalFormatting>
  <conditionalFormatting sqref="E107">
    <cfRule type="expression" dxfId="3" priority="1">
      <formula>$D107="Non testé"</formula>
    </cfRule>
    <cfRule type="expression" dxfId="2" priority="2">
      <formula>$D107="Dérogé"</formula>
    </cfRule>
    <cfRule type="expression" dxfId="1" priority="3">
      <formula>$D107="Conforme"</formula>
    </cfRule>
    <cfRule type="expression" dxfId="0" priority="4">
      <formula>$D107="Non conforme"</formula>
    </cfRule>
  </conditionalFormatting>
  <dataValidations count="2">
    <dataValidation type="list" allowBlank="1" showInputMessage="1" showErrorMessage="1" sqref="D14:D119">
      <formula1>"Conforme,Non conforme,Non applicable,Dérogé,Non testé"</formula1>
    </dataValidation>
    <dataValidation allowBlank="1" showInputMessage="1" showErrorMessage="1" prompt="Format JJ/MM/AAAA" sqref="D3"/>
  </dataValidation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SyBtnSelect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Julien Roche</dc:creator>
  <cp:lastModifiedBy>CHARRIER ADRIEN (CNAM / Lyon)</cp:lastModifiedBy>
  <dcterms:created xsi:type="dcterms:W3CDTF">2025-03-05T16:22:31Z</dcterms:created>
  <dcterms:modified xsi:type="dcterms:W3CDTF">2026-01-22T17:16:43Z</dcterms:modified>
</cp:coreProperties>
</file>
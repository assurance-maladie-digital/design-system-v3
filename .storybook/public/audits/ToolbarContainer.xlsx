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CHARRIER-32221\Downloads\"/>
    </mc:Choice>
  </mc:AlternateContent>
  <bookViews>
    <workbookView xWindow="0" yWindow="0" windowWidth="23040" windowHeight="10512"/>
  </bookViews>
  <sheets>
    <sheet name="ToolbarContainer" sheetId="2"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2" l="1"/>
  <c r="D8" i="2"/>
  <c r="D9" i="2" l="1"/>
  <c r="D6" i="2"/>
  <c r="D5" i="2"/>
  <c r="D10" i="2" l="1"/>
  <c r="D11" i="2" s="1"/>
</calcChain>
</file>

<file path=xl/sharedStrings.xml><?xml version="1.0" encoding="utf-8"?>
<sst xmlns="http://schemas.openxmlformats.org/spreadsheetml/2006/main" count="382" uniqueCount="274">
  <si>
    <t>Thématique</t>
  </si>
  <si>
    <t>Recommandation</t>
  </si>
  <si>
    <t>IMAGES</t>
  </si>
  <si>
    <t>1.1</t>
  </si>
  <si>
    <t>Chaque image porteuse d’information a-t-elle une alternative textuelle ?</t>
  </si>
  <si>
    <t>1.2</t>
  </si>
  <si>
    <t>Chaque image de décoration est-elle correctement ignorée par les technologies d’assistance ?</t>
  </si>
  <si>
    <t>1.3</t>
  </si>
  <si>
    <t>Pour chaque image porteuse d'information ayant une alternative textuelle, cette alternative est-elle pertinente (hors cas particuliers) ?</t>
  </si>
  <si>
    <t>1.4</t>
  </si>
  <si>
    <t>Pour chaque image utilisée comme CAPTCHA ou comme image-test, ayant une alternative textuelle, cette alternative permet-elle d’identifier la nature et la fonction de l’image ?</t>
  </si>
  <si>
    <t>1.5</t>
  </si>
  <si>
    <t>Pour chaque image utilisée comme CAPTCHA, une solution d’accès alternatif au contenu ou à la fonction du CAPTCHA est-elle présente ?</t>
  </si>
  <si>
    <t>1.6</t>
  </si>
  <si>
    <t>Chaque image porteuse d’information a-t-elle, si nécessaire, une description détaillée ?</t>
  </si>
  <si>
    <t>1.7</t>
  </si>
  <si>
    <t>Pour chaque image porteuse d’information ayant une description détaillée, cette description est-elle pertinente ?</t>
  </si>
  <si>
    <t>1.8</t>
  </si>
  <si>
    <t>Chaque image texte porteuse d’information, en l’absence d’un mécanisme de remplacement, doit si possible être remplacée par du texte stylé. Cette règle est-elle respectée (hors cas particuliers) ?</t>
  </si>
  <si>
    <t>1.9</t>
  </si>
  <si>
    <t>Chaque légende d’image est-elle, si nécessaire, correctement reliée à l’image correspondante ?</t>
  </si>
  <si>
    <t>CADRES</t>
  </si>
  <si>
    <t>2.1</t>
  </si>
  <si>
    <t>Chaque cadre a-t-il un titre de cadre ?</t>
  </si>
  <si>
    <t>2.2</t>
  </si>
  <si>
    <t>Pour chaque cadre ayant un titre de cadre, ce titre de cadre est-il pertinent ?</t>
  </si>
  <si>
    <t>COULEURS</t>
  </si>
  <si>
    <t>3.1</t>
  </si>
  <si>
    <t>Dans chaque page web, l’information ne doit pas être donnée uniquement par la couleur. Cette règle est-elle respectée ?</t>
  </si>
  <si>
    <t>3.2</t>
  </si>
  <si>
    <t>Dans chaque page web, le contraste entre la couleur du texte et la couleur de son arrière-plan est-il suffisamment élevé (hors cas particuliers) ?</t>
  </si>
  <si>
    <t>3.3</t>
  </si>
  <si>
    <t>Dans chaque page web, les couleurs utilisées dans les composants d’interface ou les éléments graphiques porteurs d’informations sont-elles suffisamment contrastées (hors cas particuliers) ?</t>
  </si>
  <si>
    <t>MULTIMÉDIA</t>
  </si>
  <si>
    <t>4.1</t>
  </si>
  <si>
    <t>Chaque média temporel pré-enregistré a-t-il, si nécessaire, une transcription textuelle ou une audiodescription (hors cas particuliers) ?</t>
  </si>
  <si>
    <t>4.2</t>
  </si>
  <si>
    <t>Pour chaque média temporel pré-enregistré ayant une transcription textuelle ou une audiodescription synchronisée, celles-ci sont-elles pertinentes (hors cas particuliers) ?</t>
  </si>
  <si>
    <t>4.3</t>
  </si>
  <si>
    <t>Chaque média temporel synchronisé pré-enregistré a-t-il, si nécessaire, des sous-titres synchronisés (hors cas particuliers) ?</t>
  </si>
  <si>
    <t>4.4</t>
  </si>
  <si>
    <t>Pour chaque média temporel synchronisé pré-enregistré ayant des sous-titres synchronisés, ces sous-titres sont-ils pertinents ?</t>
  </si>
  <si>
    <t>4.5</t>
  </si>
  <si>
    <t>Chaque média temporel pré-enregistré a-t-il, si nécessaire, une audiodescription synchronisée (hors cas particuliers) ?</t>
  </si>
  <si>
    <t>4.6</t>
  </si>
  <si>
    <t>Pour chaque média temporel pré-enregistré ayant une audiodescription synchronisée, celle-ci est-elle pertinente ?</t>
  </si>
  <si>
    <t>4.7</t>
  </si>
  <si>
    <t>Chaque média temporel est-il clairement identifiable (hors cas particuliers) ?</t>
  </si>
  <si>
    <t>4.8</t>
  </si>
  <si>
    <t>Chaque média non temporel a-t-il, si nécessaire, une alternative (hors cas particuliers) ?</t>
  </si>
  <si>
    <t>4.9</t>
  </si>
  <si>
    <t>Pour chaque média non temporel ayant une alternative, cette alternative est-elle pertinente ?</t>
  </si>
  <si>
    <t>4.10</t>
  </si>
  <si>
    <t>Chaque son déclenché automatiquement est-il contrôlable par l’utilisateur ?</t>
  </si>
  <si>
    <t>4.11</t>
  </si>
  <si>
    <t>La consultation de chaque média temporel est-elle, si nécessaire, contrôlable par le clavier et tout dispositif de pointage ?</t>
  </si>
  <si>
    <t>4.12</t>
  </si>
  <si>
    <t>La consultation de chaque média non temporel est-elle contrôlable par le clavier et tout dispositif de pointage ?</t>
  </si>
  <si>
    <t>4.13</t>
  </si>
  <si>
    <t>Chaque média temporel et non temporel est-il compatible avec les technologies d’assistance (hors cas particuliers) ?</t>
  </si>
  <si>
    <t>TABLEAUX</t>
  </si>
  <si>
    <t>5.1</t>
  </si>
  <si>
    <t>Chaque tableau de données complexe a-t-il un résumé ?</t>
  </si>
  <si>
    <t>5.2</t>
  </si>
  <si>
    <t>Pour chaque tableau de données complexe ayant un résumé, celui-ci est-il pertinent ?</t>
  </si>
  <si>
    <t>5.3</t>
  </si>
  <si>
    <t>Pour chaque tableau de mise en forme, le contenu linéarisé reste-t-il compréhensible ?</t>
  </si>
  <si>
    <t>5.4</t>
  </si>
  <si>
    <t>Pour chaque tableau de données ayant un titre, le titre est-il correctement associé au tableau de données ?</t>
  </si>
  <si>
    <t>5.5</t>
  </si>
  <si>
    <t>Pour chaque tableau de données ayant un titre, celui-ci est-il pertinent ?</t>
  </si>
  <si>
    <t>5.6</t>
  </si>
  <si>
    <t>Pour chaque tableau de données, chaque en-tête de colonnes et chaque en-tête de lignes sont-ils correctement déclarés ?</t>
  </si>
  <si>
    <t>5.7</t>
  </si>
  <si>
    <t>Pour chaque tableau de données, la technique appropriée permettant d’associer chaque cellule avec ses en-têtes est-elle utilisée (hors cas particuliers) ?</t>
  </si>
  <si>
    <t>5.8</t>
  </si>
  <si>
    <t>Chaque tableau de mise en forme ne doit pas utiliser d’éléments propres aux tableaux de données. Cette règle est-elle respectée ?</t>
  </si>
  <si>
    <t>LIENS</t>
  </si>
  <si>
    <t>6.1</t>
  </si>
  <si>
    <t>Chaque lien est-il explicite (hors cas particuliers) ?</t>
  </si>
  <si>
    <t>6.2</t>
  </si>
  <si>
    <t>Dans chaque page web, chaque lien a-t-il un intitulé ?</t>
  </si>
  <si>
    <t>SCRIPTS</t>
  </si>
  <si>
    <t>7.1</t>
  </si>
  <si>
    <t>Chaque script est-il, si nécessaire, compatible avec les technologies d’assistance ?</t>
  </si>
  <si>
    <t>7.2</t>
  </si>
  <si>
    <t>Pour chaque script ayant une alternative, cette alternative est-elle pertinente ?</t>
  </si>
  <si>
    <t>7.3</t>
  </si>
  <si>
    <t>Chaque script est-il contrôlable par le clavier et par tout dispositif de pointage (hors cas particuliers) ?</t>
  </si>
  <si>
    <t>7.4</t>
  </si>
  <si>
    <t>Pour chaque script qui initie un changement de contexte, l’utilisateur est-il averti ou en a-t-il le contrôle ?</t>
  </si>
  <si>
    <t>7.5</t>
  </si>
  <si>
    <t>Dans chaque page web, les messages de statut sont-ils correctement restitués par les technologies d’assistance ?</t>
  </si>
  <si>
    <t>ÉLÉMENTS OBLIGATOIRES</t>
  </si>
  <si>
    <t>8.1</t>
  </si>
  <si>
    <t>Chaque page web est-elle définie par un type de document ?</t>
  </si>
  <si>
    <t>8.2</t>
  </si>
  <si>
    <t>Pour chaque page web, le code source généré est-il valide selon le type de document spécifié (hors cas particuliers) ?</t>
  </si>
  <si>
    <t>8.3</t>
  </si>
  <si>
    <t>Dans chaque page web, la langue par défaut est-elle présente ?</t>
  </si>
  <si>
    <t>8.4</t>
  </si>
  <si>
    <t>Pour chaque page web ayant une langue par défaut, le code de langue est-il pertinent ?</t>
  </si>
  <si>
    <t>8.5</t>
  </si>
  <si>
    <t>Chaque page web a-t-elle un titre de page ?</t>
  </si>
  <si>
    <t>8.6</t>
  </si>
  <si>
    <t>Pour chaque page web ayant un titre de page, ce titre est-il pertinent ?</t>
  </si>
  <si>
    <t>8.7</t>
  </si>
  <si>
    <t>Dans chaque page web, chaque changement de langue est-il indiqué dans le code source (hors cas particuliers) ?</t>
  </si>
  <si>
    <t>8.8</t>
  </si>
  <si>
    <t>Dans chaque page web, le code de langue de chaque changement de langue est-il valide et pertinent ?</t>
  </si>
  <si>
    <t>8.9</t>
  </si>
  <si>
    <t>Dans chaque page web, les balises ne doivent pas être utilisées uniquement à des fins de présentation. Cette règle est-elle respectée ?</t>
  </si>
  <si>
    <t>8.10</t>
  </si>
  <si>
    <t>Dans chaque page web, les changements du sens de lecture sont-ils signalés ?</t>
  </si>
  <si>
    <t>STRUCTURATION</t>
  </si>
  <si>
    <t>9.1</t>
  </si>
  <si>
    <t>Dans chaque page web, l’information est-elle structurée par l’utilisation appropriée de titres ?</t>
  </si>
  <si>
    <t>9.2</t>
  </si>
  <si>
    <t>Dans chaque page web, la structure du document est-elle cohérente (hors cas particuliers) ?</t>
  </si>
  <si>
    <t>9.3</t>
  </si>
  <si>
    <t>Dans chaque page web, chaque liste est-elle correctement structurée ?</t>
  </si>
  <si>
    <t>9.4</t>
  </si>
  <si>
    <t>Dans chaque page web, chaque citation est-elle correctement indiquée ?</t>
  </si>
  <si>
    <t>PRÉSENTATION</t>
  </si>
  <si>
    <t>10.1</t>
  </si>
  <si>
    <t>Dans le site web, des feuilles de styles sont-elles utilisées pour contrôler la présentation de l’information ?</t>
  </si>
  <si>
    <t>10.2</t>
  </si>
  <si>
    <t>Dans chaque page web, le contenu visible porteur d’information reste-t-il présent lorsque les feuilles de styles sont désactivées ?</t>
  </si>
  <si>
    <t>10.3</t>
  </si>
  <si>
    <t>Dans chaque page web, l’information reste-t-elle compréhensible lorsque les feuilles de styles sont désactivées ?</t>
  </si>
  <si>
    <t>10.4</t>
  </si>
  <si>
    <t>Dans chaque page web, le texte reste-t-il lisible lorsque la taille des caractères est augmentée jusqu’à 200%, au moins (hors cas particuliers) ?</t>
  </si>
  <si>
    <t>10.5</t>
  </si>
  <si>
    <t>Dans chaque page web, les déclarations CSS de couleurs de fond d’élément et de police sont-elles correctement utilisées ?</t>
  </si>
  <si>
    <t>10.6</t>
  </si>
  <si>
    <t>Dans chaque page web, chaque lien dont la nature n’est pas évidente est-il visible par rapport au texte environnant ?</t>
  </si>
  <si>
    <t>10.7</t>
  </si>
  <si>
    <t>Dans chaque page web, pour chaque élément recevant le focus, la prise de focus est-elle visible ?</t>
  </si>
  <si>
    <t>10.8</t>
  </si>
  <si>
    <t>Pour chaque page web, les contenus cachés ont-ils vocation à être ignorés par les technologies d’assistance ?</t>
  </si>
  <si>
    <t>10.9</t>
  </si>
  <si>
    <t>Dans chaque page web, l’information ne doit pas être donnée uniquement par la forme, taille ou position. Cette règle est-elle respectée ?</t>
  </si>
  <si>
    <t>10.10</t>
  </si>
  <si>
    <t>Dans chaque page web, l’information ne doit pas être donnée par la forme, taille ou position uniquement. Cette règle est-elle implémentée de façon pertinente ?</t>
  </si>
  <si>
    <t>10.11</t>
  </si>
  <si>
    <t>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t>
  </si>
  <si>
    <t>10.12</t>
  </si>
  <si>
    <t>Dans chaque page web, les propriétés d’espacement du texte peuvent-elles être redéfinies par l’utilisateur sans perte de contenu ou de fonctionnalité (hors cas particuliers) ?</t>
  </si>
  <si>
    <t>10.13</t>
  </si>
  <si>
    <t>Dans chaque page web, les contenus additionnels apparaissant à la prise de focus ou au survol d’un composant d’interface sont-ils contrôlables par l’utilisateur (hors cas particuliers) ?</t>
  </si>
  <si>
    <t>10.14</t>
  </si>
  <si>
    <t>Dans chaque page web, les contenus additionnels apparaissant via les styles CSS uniquement peuvent-ils être rendus visibles au clavier et par tout dispositif de pointage ?</t>
  </si>
  <si>
    <t>FORMULAIRES</t>
  </si>
  <si>
    <t>11.1</t>
  </si>
  <si>
    <t>Chaque champ de formulaire a-t-il une étiquette ?</t>
  </si>
  <si>
    <t>11.2</t>
  </si>
  <si>
    <t>Chaque étiquette associée à un champ de formulaire est-elle pertinente (hors cas particuliers) ?</t>
  </si>
  <si>
    <t>11.3</t>
  </si>
  <si>
    <t>Dans chaque formulaire, chaque étiquette associée à un champ de formulaire ayant la même fonction et répété plusieurs fois dans une même page ou dans un ensemble de pages est-elle cohérente ?</t>
  </si>
  <si>
    <t>11.4</t>
  </si>
  <si>
    <t>Dans chaque formulaire, chaque étiquette de champ et son champ associé sont-ils accolés (hors cas particuliers) ?</t>
  </si>
  <si>
    <t>11.5</t>
  </si>
  <si>
    <t>Dans chaque formulaire, les champs de même nature sont-ils regroupés, si nécessaire ?</t>
  </si>
  <si>
    <t>11.6</t>
  </si>
  <si>
    <t>Dans chaque formulaire, chaque regroupement de champs de même nature a-t-il une légende ?</t>
  </si>
  <si>
    <t>11.7</t>
  </si>
  <si>
    <t>Dans chaque formulaire, chaque légende associée à un regroupement de champs de même nature est-elle pertinente ?</t>
  </si>
  <si>
    <t>11.8</t>
  </si>
  <si>
    <t>Dans chaque formulaire, les items de même nature d’une liste de choix sont-ils regroupées de manière pertinente ?</t>
  </si>
  <si>
    <t>11.9</t>
  </si>
  <si>
    <t>Dans chaque formulaire, l’intitulé de chaque bouton est-il pertinent (hors cas particuliers) ?</t>
  </si>
  <si>
    <t>11.10</t>
  </si>
  <si>
    <t>Dans chaque formulaire, le contrôle de saisie est-il utilisé de manière pertinente (hors cas particuliers) ?</t>
  </si>
  <si>
    <t>11.11</t>
  </si>
  <si>
    <t>Dans chaque formulaire, le contrôle de saisie est-il accompagné, si nécessaire, de suggestions facilitant la correction des erreurs de saisie ?</t>
  </si>
  <si>
    <t>11.12</t>
  </si>
  <si>
    <t>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t>
  </si>
  <si>
    <t>11.13</t>
  </si>
  <si>
    <t>La finalité d’un champ de saisie peut-elle être déduite pour faciliter le remplissage automatique des champs avec les données de l’utilisateur ?</t>
  </si>
  <si>
    <t>NAVIGATION</t>
  </si>
  <si>
    <t>12.1</t>
  </si>
  <si>
    <t>Chaque ensemble de pages dispose-t-il de deux systèmes de navigation différents, au moins (hors cas particuliers) ?</t>
  </si>
  <si>
    <t>12.2</t>
  </si>
  <si>
    <t>Dans chaque ensemble de pages, le menu et les barres de navigation sont-ils toujours à la même place (hors cas particuliers) ?</t>
  </si>
  <si>
    <t>12.3</t>
  </si>
  <si>
    <t>La page « plan du site » est-elle pertinente ?</t>
  </si>
  <si>
    <t>12.4</t>
  </si>
  <si>
    <t>Dans chaque ensemble de pages, la page « plan du site » est-elle atteignable de manière identique ?</t>
  </si>
  <si>
    <t>12.5</t>
  </si>
  <si>
    <t>Dans chaque ensemble de pages, le moteur de recherche est-il atteignable de manière identique ?</t>
  </si>
  <si>
    <t>12.6</t>
  </si>
  <si>
    <t>Les zones de regroupement de contenus présentes dans plusieurs pages web (zones d’en-tête, de navigation principale, de contenu principal, de pied de page et de moteur de recherche) peuvent-elles être atteintes ou évitées ?</t>
  </si>
  <si>
    <t>12.7</t>
  </si>
  <si>
    <t>Dans chaque page web, un lien d’évitement ou d’accès rapide à la zone de contenu principal est-il présent (hors cas particuliers) ?</t>
  </si>
  <si>
    <t>12.8</t>
  </si>
  <si>
    <t>Dans chaque page web, l’ordre de tabulation est-il cohérent ?</t>
  </si>
  <si>
    <t>12.9</t>
  </si>
  <si>
    <t>Dans chaque page web, la navigation ne doit pas contenir de piège au clavier. Cette règle est-elle respectée ?</t>
  </si>
  <si>
    <t>12.10</t>
  </si>
  <si>
    <t>Dans chaque page web, les raccourcis clavier n’utilisant qu’une seule touche (lettre minuscule ou majuscule, ponctuation, chiffre ou symbole) sont-ils contrôlables par l’utilisateur ?</t>
  </si>
  <si>
    <t>12.11</t>
  </si>
  <si>
    <t>Dans chaque page web, les contenus additionnels apparaissant au survol, à la prise de focus ou à l’activation d’un composant d’interface sont-ils si nécessaire atteignables au clavier ?</t>
  </si>
  <si>
    <t>CONSULTATION</t>
  </si>
  <si>
    <t>13.1</t>
  </si>
  <si>
    <t>Pour chaque page web, l’utilisateur a-t-il le contrôle de chaque limite de temps modifiant le contenu (hors cas particuliers) ?</t>
  </si>
  <si>
    <t>13.2</t>
  </si>
  <si>
    <t>Dans chaque page web, l’ouverture d’une nouvelle fenêtre ne doit pas être déclenchée sans action de l’utilisateur. Cette règle est-elle respectée ?</t>
  </si>
  <si>
    <t>13.3</t>
  </si>
  <si>
    <t>Dans chaque page web, chaque document bureautique en téléchargement possède-t-il, si nécessaire, une version accessible (hors cas particuliers) ?</t>
  </si>
  <si>
    <t>13.4</t>
  </si>
  <si>
    <t>Pour chaque document bureautique ayant une version accessible, cette version offre-t-elle la même information ?</t>
  </si>
  <si>
    <t>13.5</t>
  </si>
  <si>
    <t>Dans chaque page web, chaque contenu cryptique (art ASCII, émoticon, syntaxe cryptique) a-t-il une alternative ?</t>
  </si>
  <si>
    <t>13.6</t>
  </si>
  <si>
    <t>Dans chaque page web, pour chaque contenu cryptique (art ASCII, émoticon, syntaxe cryptique) ayant une alternative, cette alternative est-elle pertinente ?</t>
  </si>
  <si>
    <t>13.7</t>
  </si>
  <si>
    <t>Dans chaque page web, les changements brusques de luminosité ou les effets de flash sont-ils correctement utilisés ?</t>
  </si>
  <si>
    <t>13.8</t>
  </si>
  <si>
    <t>Dans chaque page web, chaque contenu en mouvement ou clignotant est-il contrôlable par l’utilisateur ?</t>
  </si>
  <si>
    <t>13.9</t>
  </si>
  <si>
    <t>Dans chaque page web, le contenu proposé est-il consultable quelle que soit l’orientation de l’écran (portait ou paysage) (hors cas particuliers) ?</t>
  </si>
  <si>
    <t>13.10</t>
  </si>
  <si>
    <t>Dans chaque page web, les fonctionnalités utilisables ou disponibles au moyen d’un geste complexe peuvent-elles être également disponibles au moyen d’un geste simple (hors cas particuliers) ?</t>
  </si>
  <si>
    <t>13.11</t>
  </si>
  <si>
    <t>Dans chaque page web, les actions déclenchées au moyen d’un dispositif de pointage sur un point unique de l’écran peuvent-elles faire l’objet d’une annulation (hors cas particuliers) ?</t>
  </si>
  <si>
    <t>13.12</t>
  </si>
  <si>
    <t>Dans chaque page web, les fonctionnalités qui impliquent un mouvement de l’appareil ou vers l’appareil peuvent-elles être satisfaites de manière alternative (hors cas particuliers) ?</t>
  </si>
  <si>
    <t>Conformité</t>
  </si>
  <si>
    <t>Description de l'erreur / Remarques / Questions</t>
  </si>
  <si>
    <t>N° critère</t>
  </si>
  <si>
    <t>Nombre de critères conformes</t>
  </si>
  <si>
    <t>Nombre de critères non conformes</t>
  </si>
  <si>
    <t>Nombre de critères dérogés</t>
  </si>
  <si>
    <t>Nombre de critères non testés</t>
  </si>
  <si>
    <t>Date</t>
  </si>
  <si>
    <t>Spécificité</t>
  </si>
  <si>
    <t>Source technique</t>
  </si>
  <si>
    <t>Nombre de critères non applicable</t>
  </si>
  <si>
    <t>Version</t>
  </si>
  <si>
    <t>Pourcentage de conformité</t>
  </si>
  <si>
    <t>Pourcentage de non-conformité</t>
  </si>
  <si>
    <t>Correction</t>
  </si>
  <si>
    <t>Audit</t>
  </si>
  <si>
    <t>Audit V1</t>
  </si>
  <si>
    <t>1.0.10</t>
  </si>
  <si>
    <t>Composant : ToolbarContainer</t>
  </si>
  <si>
    <t>https://www.w3.org/WAI/ARIA/apg/patterns/toolbar/examples/toolbar/</t>
  </si>
  <si>
    <t>Aucun texte présent</t>
  </si>
  <si>
    <t>Non applicable</t>
  </si>
  <si>
    <t>Défaut :
- Focus ring toolbar =&gt; bordure bleue sur fond blanc =&gt; 9,38 (conforme)
- Icône / Glyph :
    - état button normal =&gt; icône noire sur fond blanc =&gt; XX (conforme)
    - état button hover =&gt; icône noire sur fond gris clair =&gt; XX (conforme)
    - état button focus =&gt; icône noire sur fond gris =&gt; 13,1 (conforme)
- Focus ring option :
    - avec le fond de l'option =&gt; bordure grise sur fond gris =&gt; 1,7 (non conforme =&gt; ratio minimum de 3)
    - avec le fond de la page =&gt; bordure grise sur fond blanc =&gt; 2,1 (non conforme =&gt; ratio minimum de 3)
Il est noté qu'il manque les sous-menus ainsi que les états d'activation des boutons de type "bascule"</t>
  </si>
  <si>
    <t>Non conforme</t>
  </si>
  <si>
    <t>Les icônes des options possèdent bien un aria-hidden="true" mais elles possèdent un SVG avec le role="img", à retirer.</t>
  </si>
  <si>
    <r>
      <rPr>
        <b/>
        <u/>
        <sz val="12"/>
        <color theme="1"/>
        <rFont val="Aptos Narrow (Corps)"/>
      </rPr>
      <t>Points positifs :</t>
    </r>
    <r>
      <rPr>
        <sz val="12"/>
        <color theme="1"/>
        <rFont val="Aptos Narrow"/>
        <scheme val="minor"/>
      </rPr>
      <t xml:space="preserve">
- Chaque groupe possède un nom accessible pertinent ("Outils d'alignement", "Outils de mise en forme du texte", etc.). Attention à son role qui devrait être "group" et non "toolbar" (voir premier point négatif).
- Le tabindex 0 se met sur la première option d'une toolbar et si on revient dessus, c'est bien la dernière option qui a reçu le focus qui reprend le tabindex 0. Les autres ont un tabindex -1.
- Il existe un aria-orientation="vertical" lorsque la toolbar est représentée verticalement. Attention à bien conserver cette règle, vu que le rôle "toolbar" n'est pas placé sur le bon élément actuellement (voir le premier point négatif).
</t>
    </r>
    <r>
      <rPr>
        <b/>
        <u/>
        <sz val="12"/>
        <color theme="1"/>
        <rFont val="Aptos Narrow (Corps)"/>
      </rPr>
      <t>Points négatifs (voir le pattern Toolbar du W3C) :</t>
    </r>
    <r>
      <rPr>
        <sz val="12"/>
        <color theme="1"/>
        <rFont val="Aptos Narrow"/>
        <scheme val="minor"/>
      </rPr>
      <t xml:space="preserve">
- Le rôle "toolbar" devrait être sur un unique container. Il doit être unique pour une même zone de texte. Aujourd'hui, on en a un sur chaque groupe.
- De fait, le container global qui devrait avoir le rôle "toolbar" n'a pas de nom accessible ni d'attribut aria-controls.
- Les boutons de type "bascule" (gras, italique, souligné, etc.) n'ont pas d'état visuel actif ni de balise aria-pressed. Par ailleurs, le title écrase le texte .sr-only à l'intérieur.
- Les options d'alignements (ferrer à gauche, center, etc.) ont un rôle "button" alors qu'il devraient avoir le rôle "radio" avec l'attribut aria-checked. De plus, ils doivent faire parti d'un radiogroup avec le nom accessible "Outils d'alignement" (à la place du role "group" du premier point positif)
- Les options de type "bouton de menu" (ex: taille de police, couleur de fond, etc.) ont bien le rôle "button" mais il leur manque le sous-menu ainsi que les attributs aria-haspopup, aria-controls et aria-expanded.
</t>
    </r>
    <r>
      <rPr>
        <b/>
        <u/>
        <sz val="12"/>
        <color theme="1"/>
        <rFont val="Aptos Narrow (Corps)"/>
      </rPr>
      <t>Recommandations :</t>
    </r>
    <r>
      <rPr>
        <sz val="12"/>
        <color theme="1"/>
        <rFont val="Aptos Narrow"/>
        <scheme val="minor"/>
      </rPr>
      <t xml:space="preserve">
- Ajouter un "aria-label" en plus du "title" sur les options : permet de couverture plus large par les lecteurs d'écran
- Le role "separator" sur le hr n'a pas de sens puisqu'on a déjà les rôles "group" (ou "radiogroup"). Il est préférable de retirer ce rôle, retirer le aria-orientation et d'ajouter un aria-hidden="true" pour ne pas polluer la lecture d'écran</t>
    </r>
  </si>
  <si>
    <t>Le composant répond au pattern "Toolbar" du W3C. Ainsi :
    - l'élément toolbar doit avoir :
        - le role toolbar
        - un nom accessible (aria-label ou aria-labelledby)
        - un aria-controls qui fait référence à la zone de texte correspondante à la toolbar (id)
        - un aria-orientation vertical lorsque la toolbar est visuellement représentée à la verticale
    - les options de la toolbar doivent avoir :
        - un tabindex="-1" par défaut les rendant focalisable sans faire partie de la séquence de tabulation clavier
        - un tabindex="0" sur la dernière option connue ayant reçue le focus, sinon la première option (par défaut au chargement de la page)
Les intéractions clavier sont :
- Tab : Déplace le focus vers et en dehors de la barre d'outil. Donne le focus sur la première option de la barre d'outil ou, la dernière qui l'a reçu, si elle est connue
- Flèche Gauche/Droite (ou Haut/Bas) : Déplace le focus vers le controle précédent/suivant selon l'orientation de la barre d'outil (horizontale/verticale). Tourne en boucle parmi les options. Exception si c'est un menu contextuel qui a le focus.
- Home : Déplace le focus vers la première option
- End : Déplace le focus vers la dernière option
-Echap : Masquer le menu si l'un d'eux est ouvert</t>
  </si>
  <si>
    <t>Les options de type "bouton à bascule" (ex: gras, italique, souligné) doivent :
- être de type button
- avoir un attribut aria-pressed (true/false selon si l'option est appliquée ou non)
- aria-hidden="true" sur les lettres/glyphes + un nom accessible
Les intéractions clavier sont :
- Entrée/Espace : Active/Désactive l'option sauf si elle est en "disabled"</t>
  </si>
  <si>
    <t>Les options de type "bouton classique" (ex: couper, copier, coller) doivent :
- être de type button
- avoir un aria-disabled (true/false) selon s'il est actif ou non (ex: bouton "coller" actif si texte dans le presse papier)
Les intéractions clavier sont :
- Entrée/Espace : Exécute l'option associée sauf si elle est en "disabled"</t>
  </si>
  <si>
    <t>Les options de type "bouton de menu" (ex: famille de police) doivent :
- être de type button
- avoir un nom accessible (ex: "Police : &lt;NOM_DE_LA_POLICE&gt;")
- avoir les attributs aria-haspopup="true" + aria-controls référençant l'id du sous-menu + aria-expanded (true/false) selon l'état d'ouverture du menu.
Les sous-menus associés eux doivent :
- avoir un nom accessible (ex: "Famille de polices")
- être sous la forme d'une liste à puce ul/li
- avoir le role "menu" + des items au rôle "menuitemradio"
- avoir des items avec les attributs aria-checked (true/false selon l'activation) + tabindex="-1"
Les intéractions clavier sont :
- Focus sur l'option "bouton de menu" :
    - Entrée/Espace/Flèche Haut/Bas : Ouvre le menu et positionne le focus sur un élément item du sous-menu.
- Focus sur un item du menu :
    - Entrée/Espace : Active le menu ou ferme le menu en repositionnant le focus sur le "bouton de menu".
    -Flèche Haut/Bas : Déplace le focus vers l'élément précédent/suivant. Tourne en boucle.
    - Echap : ferme le menu en repositionnant le focus sur le "bouton de menu".</t>
  </si>
  <si>
    <t>Les options de type "spin button" (ex: taille de la police) doivent :
- avoir le rôle "spinbutton"
- avoir un nom accessible (ex: "Taille de police en pixels")
- les attributs aria-valuenow, aria-valuemin et aria-valuemax définissant respectivement la valeur courante, la valeur minimale et la valeur maximale
- (Optionnel) un attribut aria-valuetext afin de fournir une valeur plus accessible (ex: "10 pixels")
Les intéractions clavier sont :
- Flèche Haut/Bas : Diminue ou augmente la valeur de 1 en 1
- Page Up/Down : Diminue ou augmente la valeur de 5 en 5</t>
  </si>
  <si>
    <t>Les options de type "group radio" (ex: alignement du texte) doivent :
- avoir un container au rôle "radiogroup" + un nom accessible (ex: "Alignement du texte")
- avoir des items avec les attributs aria-checked (true/false selon l'activation) + aria-hidden="true" sur les glyphes + un nom accessible
Les intéractions clavier sont :
- Entrée/Espace : Active le bouton radio si non activé et décoche l'ancien activé
- Flèche Haut/Bas : Déplace le focus vers le bouton radio précédent/suivant. Tourne en boucle.</t>
  </si>
  <si>
    <t>Il est possible de naviguer au seins des options avec les flèches. En revanche, vu que le pattern n'est pas respecté sur les options de type "boutons à bascules", "bouton de menu" et "groupe radio", il faut revoir l'implementation de chaque option au regard des critères techniques (voir pattern "Toolbar").</t>
  </si>
  <si>
    <t>Aucune balise ou attribut servant à la présentation de l'information n'est présent sur le composant, les styles sont bien réalisés par CSS. 
Une attention particulière est notée pour les espaces (sur un mot, un tableau ou pour simuler de la présentation) qui est de la responsabilité du contributeur</t>
  </si>
  <si>
    <t>Le contenu visible porteur d'information reste présent lorsque les feuilles de styles sont désactivées.</t>
  </si>
  <si>
    <t>L'information reste compréhensible car chaque élément utilise un élément HTML approprié et l'ordre ne nuit pas à la compréhension du composant.</t>
  </si>
  <si>
    <t>Conforme</t>
  </si>
  <si>
    <t>Le composant est présenté sans perte d'information ou de fonctionnalité pour une fenêtre ayant une largeur de 320px. Aucune barre de défilement horizontale n'apparaît.</t>
  </si>
  <si>
    <t>La navigation au sein du composant ne contient pas de piège au clavier</t>
  </si>
  <si>
    <t>Le focus est existant sur la toolbar et ses options. En revanche, en ce qui concerne les options, le niveau de contraste est insuffisant (voir critère 3.3)</t>
  </si>
  <si>
    <t>Aucune erreurremontée par le validateur HTML du W3C.</t>
  </si>
  <si>
    <t>Remplacer le composant Vicon par SyIcon dans les exemples</t>
  </si>
  <si>
    <t>Regrouper toutes les sections des stories dans une seule toolbar, grouper les champs avec les role "group" ou "radiogroup".
Ajouter le roule radio aux boutton toggle d'alignement.
Ajouter les attribut "aria-checked" et "aria-pressed".
Retirer le composant VSeparator er le remplacer par du css.</t>
  </si>
  <si>
    <t>Modifier le css des bouttons dans les stories</t>
  </si>
  <si>
    <t>Ajouter de style pour les états de focus dans les stories.
Ajout des états de bascules.</t>
  </si>
  <si>
    <t>Correction post audit V1 - (voir - https://github.com/assurance-maladie-digital/design-system-v3/issues/643)</t>
  </si>
  <si>
    <t>1.0.17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</si>
</sst>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font>
      <sz val="12"/>
      <color theme="1"/>
      <name val="Aptos Narrow"/>
      <family val="2"/>
      <scheme val="minor"/>
    </font>
    <font>
      <sz val="12"/>
      <color theme="1"/>
      <name val="Aptos Narrow"/>
      <family val="2"/>
      <scheme val="minor"/>
    </font>
    <font>
      <b/>
      <sz val="12"/>
      <color rgb="FFFFFFFF"/>
      <name val="Aptos Narrow"/>
      <scheme val="minor"/>
    </font>
    <font>
      <sz val="12"/>
      <color theme="1"/>
      <name val="Aptos Narrow"/>
      <scheme val="minor"/>
    </font>
    <font>
      <b/>
      <sz val="12"/>
      <color rgb="FF000000"/>
      <name val="Aptos Narrow"/>
      <scheme val="minor"/>
    </font>
    <font>
      <sz val="12"/>
      <color rgb="FF000000"/>
      <name val="Aptos Narrow"/>
      <scheme val="minor"/>
    </font>
    <font>
      <sz val="14"/>
      <color theme="1"/>
      <name val="Aptos Narrow"/>
      <family val="2"/>
      <scheme val="minor"/>
    </font>
    <font>
      <b/>
      <sz val="14"/>
      <color theme="0"/>
      <name val="Aptos Narrow"/>
      <family val="2"/>
      <scheme val="minor"/>
    </font>
    <font>
      <sz val="12"/>
      <name val="Aptos Narrow"/>
      <scheme val="minor"/>
    </font>
    <font>
      <sz val="14"/>
      <name val="Aptos Narrow"/>
      <scheme val="minor"/>
    </font>
    <font>
      <sz val="14"/>
      <color theme="1"/>
      <name val="Aptos Narrow"/>
      <scheme val="minor"/>
    </font>
    <font>
      <sz val="12"/>
      <color theme="0"/>
      <name val="Aptos Narrow"/>
      <scheme val="minor"/>
    </font>
    <font>
      <b/>
      <sz val="14"/>
      <name val="Aptos Narrow"/>
      <scheme val="minor"/>
    </font>
    <font>
      <b/>
      <sz val="14"/>
      <color theme="1"/>
      <name val="Aptos Narrow"/>
      <scheme val="minor"/>
    </font>
    <font>
      <b/>
      <u/>
      <sz val="12"/>
      <color theme="1"/>
      <name val="Aptos Narrow (Corps)"/>
    </font>
    <font>
      <sz val="12"/>
      <color theme="6" tint="-0.249977111117893"/>
      <name val="Aptos Narrow"/>
      <scheme val="minor"/>
    </font>
    <font>
      <b/>
      <sz val="13.5"/>
      <color rgb="FF000000"/>
      <name val="Aptos Narrow"/>
    </font>
    <font>
      <sz val="13.5"/>
      <color rgb="FF000000"/>
      <name val="Aptos Narrow"/>
    </font>
  </fonts>
  <fills count="7">
    <fill>
      <patternFill patternType="none"/>
    </fill>
    <fill>
      <patternFill patternType="gray125"/>
    </fill>
    <fill>
      <patternFill patternType="solid">
        <fgColor theme="0"/>
        <bgColor indexed="64"/>
      </patternFill>
    </fill>
    <fill>
      <patternFill patternType="solid">
        <fgColor rgb="FF000091"/>
        <bgColor indexed="64"/>
      </patternFill>
    </fill>
    <fill>
      <patternFill patternType="solid">
        <fgColor rgb="FF000091"/>
        <bgColor rgb="FF2D77D0"/>
      </patternFill>
    </fill>
    <fill>
      <patternFill patternType="solid">
        <fgColor rgb="FF000091"/>
        <bgColor rgb="FFC81A71"/>
      </patternFill>
    </fill>
    <fill>
      <patternFill patternType="solid">
        <fgColor theme="6" tint="0.79998168889431442"/>
        <bgColor indexed="64"/>
      </patternFill>
    </fill>
  </fills>
  <borders count="13">
    <border>
      <left/>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9" fontId="1" fillId="0" borderId="0" applyFont="0" applyFill="0" applyBorder="0" applyAlignment="0" applyProtection="0"/>
  </cellStyleXfs>
  <cellXfs count="47">
    <xf numFmtId="0" fontId="0" fillId="0" borderId="0" xfId="0"/>
    <xf numFmtId="0" fontId="3" fillId="0" borderId="0" xfId="0" applyFont="1"/>
    <xf numFmtId="0" fontId="4" fillId="0" borderId="2" xfId="0" applyFont="1" applyBorder="1" applyAlignment="1">
      <alignment horizontal="center" vertical="center" wrapText="1"/>
    </xf>
    <xf numFmtId="0" fontId="5" fillId="0" borderId="2" xfId="0" applyFont="1" applyBorder="1" applyAlignment="1">
      <alignment horizontal="left" vertical="center" wrapText="1"/>
    </xf>
    <xf numFmtId="0" fontId="7" fillId="3" borderId="5" xfId="0" applyFont="1" applyFill="1" applyBorder="1"/>
    <xf numFmtId="0" fontId="6" fillId="2" borderId="6" xfId="0" applyFont="1" applyFill="1" applyBorder="1" applyAlignment="1">
      <alignment horizontal="left" vertical="top"/>
    </xf>
    <xf numFmtId="0" fontId="7" fillId="3" borderId="7" xfId="0" applyFont="1" applyFill="1" applyBorder="1"/>
    <xf numFmtId="0" fontId="8" fillId="0" borderId="0" xfId="0" applyFont="1" applyAlignment="1">
      <alignment horizontal="center" vertical="center" wrapText="1"/>
    </xf>
    <xf numFmtId="14" fontId="10" fillId="0" borderId="5" xfId="0" applyNumberFormat="1" applyFont="1" applyBorder="1"/>
    <xf numFmtId="0" fontId="10" fillId="0" borderId="5" xfId="0" applyFont="1" applyBorder="1"/>
    <xf numFmtId="0" fontId="11" fillId="3" borderId="5" xfId="0" applyFont="1" applyFill="1" applyBorder="1"/>
    <xf numFmtId="0" fontId="3" fillId="0" borderId="5" xfId="0" applyFont="1" applyBorder="1" applyAlignment="1">
      <alignment horizontal="left" vertical="top" wrapText="1"/>
    </xf>
    <xf numFmtId="0" fontId="3" fillId="0" borderId="5" xfId="0" quotePrefix="1" applyFont="1" applyBorder="1" applyAlignment="1">
      <alignment horizontal="left" vertical="top" wrapText="1"/>
    </xf>
    <xf numFmtId="0" fontId="10" fillId="0" borderId="5" xfId="0" applyFont="1" applyBorder="1" applyAlignment="1">
      <alignment horizontal="right" vertical="top"/>
    </xf>
    <xf numFmtId="9" fontId="13" fillId="0" borderId="5" xfId="1" applyFont="1" applyFill="1" applyBorder="1"/>
    <xf numFmtId="0" fontId="3" fillId="0" borderId="5" xfId="0" quotePrefix="1" applyFont="1" applyBorder="1" applyAlignment="1">
      <alignment horizontal="left" vertical="top"/>
    </xf>
    <xf numFmtId="0" fontId="3" fillId="0" borderId="6" xfId="0" applyFont="1" applyBorder="1" applyAlignment="1">
      <alignment horizontal="left" vertical="top"/>
    </xf>
    <xf numFmtId="0" fontId="3" fillId="0" borderId="6" xfId="0" applyFont="1" applyBorder="1" applyAlignment="1">
      <alignment horizontal="left" vertical="top" wrapText="1"/>
    </xf>
    <xf numFmtId="0" fontId="7" fillId="3" borderId="11" xfId="0" applyFont="1" applyFill="1" applyBorder="1"/>
    <xf numFmtId="0" fontId="3" fillId="0" borderId="5" xfId="0" applyFont="1" applyBorder="1"/>
    <xf numFmtId="0" fontId="13" fillId="0" borderId="5" xfId="0" applyFont="1" applyBorder="1" applyAlignment="1">
      <alignment horizontal="right"/>
    </xf>
    <xf numFmtId="0" fontId="3" fillId="0" borderId="6" xfId="0" applyFont="1" applyBorder="1" applyAlignment="1">
      <alignment horizontal="left" vertical="top" wrapText="1"/>
    </xf>
    <xf numFmtId="0" fontId="3" fillId="0" borderId="9" xfId="0" applyFont="1" applyBorder="1" applyAlignment="1">
      <alignment horizontal="left" vertical="top"/>
    </xf>
    <xf numFmtId="0" fontId="3" fillId="0" borderId="10" xfId="0" applyFont="1" applyBorder="1" applyAlignment="1">
      <alignment horizontal="left" vertical="top"/>
    </xf>
    <xf numFmtId="0" fontId="2" fillId="5" borderId="0" xfId="0" applyFont="1" applyFill="1" applyAlignment="1">
      <alignment horizontal="center" vertical="center" wrapText="1"/>
    </xf>
    <xf numFmtId="0" fontId="9" fillId="0" borderId="5" xfId="0" applyFont="1" applyBorder="1" applyAlignment="1">
      <alignment horizontal="left" vertical="top" wrapText="1"/>
    </xf>
    <xf numFmtId="0" fontId="9" fillId="0" borderId="6" xfId="0" applyFont="1" applyBorder="1" applyAlignment="1">
      <alignment horizontal="left" vertical="top" wrapText="1"/>
    </xf>
    <xf numFmtId="0" fontId="9" fillId="0" borderId="9" xfId="0" applyFont="1" applyBorder="1" applyAlignment="1">
      <alignment horizontal="left" vertical="top" wrapText="1"/>
    </xf>
    <xf numFmtId="0" fontId="9" fillId="0" borderId="10" xfId="0" applyFont="1" applyBorder="1" applyAlignment="1">
      <alignment horizontal="left" vertical="top" wrapText="1"/>
    </xf>
    <xf numFmtId="0" fontId="12" fillId="0" borderId="5" xfId="0" applyFont="1" applyBorder="1" applyAlignment="1">
      <alignment horizontal="left" vertical="center" wrapText="1"/>
    </xf>
    <xf numFmtId="0" fontId="12" fillId="0" borderId="6" xfId="0" applyFont="1" applyBorder="1" applyAlignment="1">
      <alignment horizontal="left" vertical="top" wrapText="1"/>
    </xf>
    <xf numFmtId="0" fontId="12" fillId="0" borderId="9" xfId="0" applyFont="1" applyBorder="1" applyAlignment="1">
      <alignment horizontal="left" vertical="top" wrapText="1"/>
    </xf>
    <xf numFmtId="0" fontId="12" fillId="0" borderId="10" xfId="0" applyFont="1" applyBorder="1" applyAlignment="1">
      <alignment horizontal="left" vertical="top" wrapText="1"/>
    </xf>
    <xf numFmtId="0" fontId="2" fillId="4" borderId="8" xfId="0" applyFont="1" applyFill="1" applyBorder="1" applyAlignment="1">
      <alignment horizontal="center" vertical="center" textRotation="90" wrapText="1"/>
    </xf>
    <xf numFmtId="0" fontId="2" fillId="4" borderId="3" xfId="0" applyFont="1" applyFill="1" applyBorder="1" applyAlignment="1">
      <alignment horizontal="center" vertical="center" textRotation="90" wrapText="1"/>
    </xf>
    <xf numFmtId="0" fontId="2" fillId="4" borderId="1" xfId="0" applyFont="1" applyFill="1" applyBorder="1" applyAlignment="1">
      <alignment horizontal="center" vertical="center" textRotation="90" wrapText="1"/>
    </xf>
    <xf numFmtId="0" fontId="2" fillId="4" borderId="4" xfId="0" applyFont="1" applyFill="1" applyBorder="1" applyAlignment="1">
      <alignment horizontal="center" vertical="center" textRotation="90" wrapText="1"/>
    </xf>
    <xf numFmtId="0" fontId="3" fillId="0" borderId="9" xfId="0" applyFont="1" applyBorder="1" applyAlignment="1">
      <alignment horizontal="left" vertical="top" wrapText="1"/>
    </xf>
    <xf numFmtId="0" fontId="3" fillId="0" borderId="10" xfId="0" applyFont="1" applyBorder="1" applyAlignment="1">
      <alignment horizontal="left" vertical="top" wrapText="1"/>
    </xf>
    <xf numFmtId="0" fontId="11" fillId="3" borderId="5" xfId="0" applyFont="1" applyFill="1" applyBorder="1" applyAlignment="1">
      <alignment horizontal="left"/>
    </xf>
    <xf numFmtId="0" fontId="3" fillId="0" borderId="5" xfId="0" applyFont="1" applyBorder="1" applyAlignment="1">
      <alignment horizontal="left" vertical="top" wrapText="1"/>
    </xf>
    <xf numFmtId="0" fontId="15" fillId="6" borderId="5" xfId="0" applyFont="1" applyFill="1" applyBorder="1" applyAlignment="1">
      <alignment vertical="top" wrapText="1"/>
    </xf>
    <xf numFmtId="0" fontId="16" fillId="0" borderId="12" xfId="0" applyFont="1" applyBorder="1" applyAlignment="1">
      <alignment horizontal="right"/>
    </xf>
    <xf numFmtId="14" fontId="17" fillId="0" borderId="1" xfId="0" applyNumberFormat="1" applyFont="1" applyBorder="1"/>
    <xf numFmtId="0" fontId="10" fillId="0" borderId="0" xfId="0" applyFont="1" applyAlignment="1">
      <alignment horizontal="right"/>
    </xf>
    <xf numFmtId="0" fontId="17" fillId="0" borderId="12" xfId="0" applyFont="1" applyBorder="1"/>
    <xf numFmtId="9" fontId="16" fillId="0" borderId="12" xfId="0" applyNumberFormat="1" applyFont="1" applyBorder="1"/>
  </cellXfs>
  <cellStyles count="2">
    <cellStyle name="Normal" xfId="0" builtinId="0"/>
    <cellStyle name="Pourcentage" xfId="1" builtinId="5"/>
  </cellStyles>
  <dxfs count="10">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theme="8" tint="-0.24994659260841701"/>
      </font>
      <fill>
        <patternFill>
          <bgColor theme="8" tint="0.79998168889431442"/>
        </patternFill>
      </fill>
    </dxf>
    <dxf>
      <font>
        <color rgb="FF9C5700"/>
      </font>
      <fill>
        <patternFill>
          <bgColor rgb="FFFFEB9C"/>
        </patternFill>
      </fill>
    </dxf>
  </dxfs>
  <tableStyles count="0" defaultTableStyle="TableStyleMedium2" defaultPivotStyle="PivotStyleLight16"/>
  <colors>
    <mruColors>
      <color rgb="FF0000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9"/>
  <sheetViews>
    <sheetView tabSelected="1" topLeftCell="D1" zoomScale="110" zoomScaleNormal="110" workbookViewId="0">
      <selection activeCell="F8" sqref="F8"/>
    </sheetView>
  </sheetViews>
  <sheetFormatPr baseColWidth="10" defaultColWidth="10.81640625" defaultRowHeight="15"/>
  <cols>
    <col min="1" max="1" width="15" style="1" customWidth="1"/>
    <col min="2" max="2" width="10.36328125" style="1" bestFit="1" customWidth="1"/>
    <col min="3" max="3" width="59.81640625" style="1" customWidth="1"/>
    <col min="4" max="4" width="15.1796875" style="1" bestFit="1" customWidth="1"/>
    <col min="5" max="5" width="95.81640625" style="1" customWidth="1"/>
    <col min="6" max="6" width="17.1796875" style="1" customWidth="1"/>
    <col min="7" max="16384" width="10.81640625" style="1"/>
  </cols>
  <sheetData>
    <row r="1" spans="1:6" ht="31.95" customHeight="1">
      <c r="A1" s="24" t="s">
        <v>245</v>
      </c>
      <c r="B1" s="24"/>
      <c r="C1" s="24"/>
      <c r="D1" s="24"/>
    </row>
    <row r="2" spans="1:6" ht="17.399999999999999">
      <c r="A2" s="29" t="s">
        <v>242</v>
      </c>
      <c r="B2" s="29"/>
      <c r="C2" s="29"/>
      <c r="D2" s="20" t="s">
        <v>243</v>
      </c>
      <c r="E2" s="42" t="s">
        <v>272</v>
      </c>
    </row>
    <row r="3" spans="1:6" ht="17.399999999999999">
      <c r="A3" s="25" t="s">
        <v>234</v>
      </c>
      <c r="B3" s="25"/>
      <c r="C3" s="25"/>
      <c r="D3" s="8">
        <v>45947</v>
      </c>
      <c r="E3" s="43">
        <v>46021</v>
      </c>
    </row>
    <row r="4" spans="1:6" ht="17.399999999999999">
      <c r="A4" s="26" t="s">
        <v>238</v>
      </c>
      <c r="B4" s="27"/>
      <c r="C4" s="28"/>
      <c r="D4" s="13" t="s">
        <v>244</v>
      </c>
      <c r="E4" s="44" t="s">
        <v>273</v>
      </c>
    </row>
    <row r="5" spans="1:6" ht="16.05" customHeight="1">
      <c r="A5" s="25" t="s">
        <v>230</v>
      </c>
      <c r="B5" s="25"/>
      <c r="C5" s="25"/>
      <c r="D5" s="9">
        <f xml:space="preserve"> COUNTIF($D$14:$D$119,"Conforme")</f>
        <v>6</v>
      </c>
      <c r="E5" s="45">
        <v>11</v>
      </c>
    </row>
    <row r="6" spans="1:6" ht="17.399999999999999">
      <c r="A6" s="25" t="s">
        <v>231</v>
      </c>
      <c r="B6" s="25"/>
      <c r="C6" s="25"/>
      <c r="D6" s="9">
        <f xml:space="preserve"> COUNTIF($D$14:$D$119,"Non conforme")</f>
        <v>5</v>
      </c>
      <c r="E6" s="45">
        <v>0</v>
      </c>
    </row>
    <row r="7" spans="1:6" ht="17.399999999999999">
      <c r="A7" s="25" t="s">
        <v>237</v>
      </c>
      <c r="B7" s="25"/>
      <c r="C7" s="25"/>
      <c r="D7" s="9">
        <f xml:space="preserve"> COUNTIF($D$14:$D$119,"Non applicable")</f>
        <v>95</v>
      </c>
      <c r="E7" s="45">
        <v>95</v>
      </c>
    </row>
    <row r="8" spans="1:6" ht="17.399999999999999">
      <c r="A8" s="25" t="s">
        <v>232</v>
      </c>
      <c r="B8" s="25"/>
      <c r="C8" s="25"/>
      <c r="D8" s="9">
        <f xml:space="preserve"> COUNTIF($D$14:$D$119,"Dérogé")</f>
        <v>0</v>
      </c>
      <c r="E8" s="45">
        <v>0</v>
      </c>
    </row>
    <row r="9" spans="1:6" ht="17.399999999999999">
      <c r="A9" s="25" t="s">
        <v>233</v>
      </c>
      <c r="B9" s="25"/>
      <c r="C9" s="25"/>
      <c r="D9" s="9">
        <f xml:space="preserve"> COUNTIF($D$14:$D$119,"Non testé")</f>
        <v>0</v>
      </c>
      <c r="E9" s="45">
        <v>0</v>
      </c>
    </row>
    <row r="10" spans="1:6" ht="19.05" customHeight="1">
      <c r="A10" s="30" t="s">
        <v>239</v>
      </c>
      <c r="B10" s="31"/>
      <c r="C10" s="32"/>
      <c r="D10" s="14">
        <f>IF(SUM(D5:D6)&gt;0,D5/SUM(D5:D6),"")</f>
        <v>0.54545454545454541</v>
      </c>
      <c r="E10" s="46">
        <v>1</v>
      </c>
    </row>
    <row r="11" spans="1:6" ht="19.05" customHeight="1">
      <c r="A11" s="30" t="s">
        <v>240</v>
      </c>
      <c r="B11" s="31"/>
      <c r="C11" s="32"/>
      <c r="D11" s="14">
        <f>IF(SUM(D5:D6)&gt;0,1-ROUND(D10,2),"")</f>
        <v>0.44999999999999996</v>
      </c>
      <c r="E11" s="46">
        <v>0</v>
      </c>
    </row>
    <row r="12" spans="1:6">
      <c r="A12" s="7"/>
      <c r="B12" s="7"/>
      <c r="C12" s="7"/>
    </row>
    <row r="13" spans="1:6" ht="17.399999999999999">
      <c r="A13" s="4" t="s">
        <v>0</v>
      </c>
      <c r="B13" s="4" t="s">
        <v>229</v>
      </c>
      <c r="C13" s="4" t="s">
        <v>1</v>
      </c>
      <c r="D13" s="4" t="s">
        <v>227</v>
      </c>
      <c r="E13" s="6" t="s">
        <v>228</v>
      </c>
      <c r="F13" s="18" t="s">
        <v>241</v>
      </c>
    </row>
    <row r="14" spans="1:6" ht="17.399999999999999">
      <c r="A14" s="33" t="s">
        <v>2</v>
      </c>
      <c r="B14" s="2" t="s">
        <v>3</v>
      </c>
      <c r="C14" s="3" t="s">
        <v>4</v>
      </c>
      <c r="D14" s="5" t="s">
        <v>248</v>
      </c>
      <c r="E14" s="11"/>
      <c r="F14" s="19"/>
    </row>
    <row r="15" spans="1:6" ht="60">
      <c r="A15" s="34"/>
      <c r="B15" s="2" t="s">
        <v>5</v>
      </c>
      <c r="C15" s="3" t="s">
        <v>6</v>
      </c>
      <c r="D15" s="5" t="s">
        <v>250</v>
      </c>
      <c r="E15" s="12" t="s">
        <v>251</v>
      </c>
      <c r="F15" s="41" t="s">
        <v>268</v>
      </c>
    </row>
    <row r="16" spans="1:6" ht="30">
      <c r="A16" s="34"/>
      <c r="B16" s="2" t="s">
        <v>7</v>
      </c>
      <c r="C16" s="3" t="s">
        <v>8</v>
      </c>
      <c r="D16" s="5" t="s">
        <v>248</v>
      </c>
      <c r="E16" s="11"/>
      <c r="F16" s="19"/>
    </row>
    <row r="17" spans="1:6" ht="45">
      <c r="A17" s="34"/>
      <c r="B17" s="2" t="s">
        <v>9</v>
      </c>
      <c r="C17" s="3" t="s">
        <v>10</v>
      </c>
      <c r="D17" s="5" t="s">
        <v>248</v>
      </c>
      <c r="E17" s="11"/>
      <c r="F17" s="19"/>
    </row>
    <row r="18" spans="1:6" ht="30">
      <c r="A18" s="34"/>
      <c r="B18" s="2" t="s">
        <v>11</v>
      </c>
      <c r="C18" s="3" t="s">
        <v>12</v>
      </c>
      <c r="D18" s="5" t="s">
        <v>248</v>
      </c>
      <c r="E18" s="11"/>
      <c r="F18" s="19"/>
    </row>
    <row r="19" spans="1:6" ht="30">
      <c r="A19" s="34"/>
      <c r="B19" s="2" t="s">
        <v>13</v>
      </c>
      <c r="C19" s="3" t="s">
        <v>14</v>
      </c>
      <c r="D19" s="5" t="s">
        <v>248</v>
      </c>
      <c r="E19" s="11"/>
      <c r="F19" s="19"/>
    </row>
    <row r="20" spans="1:6" ht="30">
      <c r="A20" s="34"/>
      <c r="B20" s="2" t="s">
        <v>15</v>
      </c>
      <c r="C20" s="3" t="s">
        <v>16</v>
      </c>
      <c r="D20" s="5" t="s">
        <v>248</v>
      </c>
      <c r="E20" s="11"/>
      <c r="F20" s="19"/>
    </row>
    <row r="21" spans="1:6" ht="45">
      <c r="A21" s="34"/>
      <c r="B21" s="2" t="s">
        <v>17</v>
      </c>
      <c r="C21" s="3" t="s">
        <v>18</v>
      </c>
      <c r="D21" s="5" t="s">
        <v>248</v>
      </c>
      <c r="E21" s="11"/>
      <c r="F21" s="19"/>
    </row>
    <row r="22" spans="1:6" ht="30">
      <c r="A22" s="35"/>
      <c r="B22" s="2" t="s">
        <v>19</v>
      </c>
      <c r="C22" s="3" t="s">
        <v>20</v>
      </c>
      <c r="D22" s="5" t="s">
        <v>248</v>
      </c>
      <c r="E22" s="11"/>
      <c r="F22" s="19"/>
    </row>
    <row r="23" spans="1:6" ht="17.399999999999999">
      <c r="A23" s="36" t="s">
        <v>21</v>
      </c>
      <c r="B23" s="2" t="s">
        <v>22</v>
      </c>
      <c r="C23" s="3" t="s">
        <v>23</v>
      </c>
      <c r="D23" s="5" t="s">
        <v>248</v>
      </c>
      <c r="E23" s="11"/>
      <c r="F23" s="19"/>
    </row>
    <row r="24" spans="1:6" ht="30">
      <c r="A24" s="35"/>
      <c r="B24" s="2" t="s">
        <v>24</v>
      </c>
      <c r="C24" s="3" t="s">
        <v>25</v>
      </c>
      <c r="D24" s="5" t="s">
        <v>248</v>
      </c>
      <c r="E24" s="11"/>
      <c r="F24" s="19"/>
    </row>
    <row r="25" spans="1:6" ht="30">
      <c r="A25" s="36" t="s">
        <v>26</v>
      </c>
      <c r="B25" s="2" t="s">
        <v>27</v>
      </c>
      <c r="C25" s="3" t="s">
        <v>28</v>
      </c>
      <c r="D25" s="5" t="s">
        <v>248</v>
      </c>
      <c r="E25" s="11"/>
      <c r="F25" s="19"/>
    </row>
    <row r="26" spans="1:6" ht="45">
      <c r="A26" s="34"/>
      <c r="B26" s="2" t="s">
        <v>29</v>
      </c>
      <c r="C26" s="3" t="s">
        <v>30</v>
      </c>
      <c r="D26" s="5" t="s">
        <v>248</v>
      </c>
      <c r="E26" s="11" t="s">
        <v>247</v>
      </c>
      <c r="F26" s="19"/>
    </row>
    <row r="27" spans="1:6" ht="175.8" customHeight="1">
      <c r="A27" s="35"/>
      <c r="B27" s="2" t="s">
        <v>31</v>
      </c>
      <c r="C27" s="3" t="s">
        <v>32</v>
      </c>
      <c r="D27" s="5" t="s">
        <v>250</v>
      </c>
      <c r="E27" s="11" t="s">
        <v>249</v>
      </c>
      <c r="F27" s="41" t="s">
        <v>271</v>
      </c>
    </row>
    <row r="28" spans="1:6" ht="30">
      <c r="A28" s="36" t="s">
        <v>33</v>
      </c>
      <c r="B28" s="2" t="s">
        <v>34</v>
      </c>
      <c r="C28" s="3" t="s">
        <v>35</v>
      </c>
      <c r="D28" s="5" t="s">
        <v>248</v>
      </c>
      <c r="E28" s="11"/>
      <c r="F28" s="19"/>
    </row>
    <row r="29" spans="1:6" ht="45">
      <c r="A29" s="34"/>
      <c r="B29" s="2" t="s">
        <v>36</v>
      </c>
      <c r="C29" s="3" t="s">
        <v>37</v>
      </c>
      <c r="D29" s="5" t="s">
        <v>248</v>
      </c>
      <c r="E29" s="11"/>
      <c r="F29" s="19"/>
    </row>
    <row r="30" spans="1:6" ht="30">
      <c r="A30" s="34"/>
      <c r="B30" s="2" t="s">
        <v>38</v>
      </c>
      <c r="C30" s="3" t="s">
        <v>39</v>
      </c>
      <c r="D30" s="5" t="s">
        <v>248</v>
      </c>
      <c r="E30" s="11"/>
      <c r="F30" s="19"/>
    </row>
    <row r="31" spans="1:6" ht="30">
      <c r="A31" s="34"/>
      <c r="B31" s="2" t="s">
        <v>40</v>
      </c>
      <c r="C31" s="3" t="s">
        <v>41</v>
      </c>
      <c r="D31" s="5" t="s">
        <v>248</v>
      </c>
      <c r="E31" s="11"/>
      <c r="F31" s="19"/>
    </row>
    <row r="32" spans="1:6" ht="30">
      <c r="A32" s="34"/>
      <c r="B32" s="2" t="s">
        <v>42</v>
      </c>
      <c r="C32" s="3" t="s">
        <v>43</v>
      </c>
      <c r="D32" s="5" t="s">
        <v>248</v>
      </c>
      <c r="E32" s="11"/>
      <c r="F32" s="19"/>
    </row>
    <row r="33" spans="1:6" ht="30">
      <c r="A33" s="34"/>
      <c r="B33" s="2" t="s">
        <v>44</v>
      </c>
      <c r="C33" s="3" t="s">
        <v>45</v>
      </c>
      <c r="D33" s="5" t="s">
        <v>248</v>
      </c>
      <c r="E33" s="11"/>
      <c r="F33" s="19"/>
    </row>
    <row r="34" spans="1:6" ht="30">
      <c r="A34" s="34"/>
      <c r="B34" s="2" t="s">
        <v>46</v>
      </c>
      <c r="C34" s="3" t="s">
        <v>47</v>
      </c>
      <c r="D34" s="5" t="s">
        <v>248</v>
      </c>
      <c r="E34" s="11"/>
      <c r="F34" s="19"/>
    </row>
    <row r="35" spans="1:6" ht="30">
      <c r="A35" s="34"/>
      <c r="B35" s="2" t="s">
        <v>48</v>
      </c>
      <c r="C35" s="3" t="s">
        <v>49</v>
      </c>
      <c r="D35" s="5" t="s">
        <v>248</v>
      </c>
      <c r="E35" s="11"/>
      <c r="F35" s="19"/>
    </row>
    <row r="36" spans="1:6" ht="30">
      <c r="A36" s="34"/>
      <c r="B36" s="2" t="s">
        <v>50</v>
      </c>
      <c r="C36" s="3" t="s">
        <v>51</v>
      </c>
      <c r="D36" s="5" t="s">
        <v>248</v>
      </c>
      <c r="E36" s="11"/>
      <c r="F36" s="19"/>
    </row>
    <row r="37" spans="1:6" ht="30">
      <c r="A37" s="34"/>
      <c r="B37" s="2" t="s">
        <v>52</v>
      </c>
      <c r="C37" s="3" t="s">
        <v>53</v>
      </c>
      <c r="D37" s="5" t="s">
        <v>248</v>
      </c>
      <c r="E37" s="11"/>
      <c r="F37" s="19"/>
    </row>
    <row r="38" spans="1:6" ht="30">
      <c r="A38" s="34"/>
      <c r="B38" s="2" t="s">
        <v>54</v>
      </c>
      <c r="C38" s="3" t="s">
        <v>55</v>
      </c>
      <c r="D38" s="5" t="s">
        <v>248</v>
      </c>
      <c r="E38" s="11"/>
      <c r="F38" s="19"/>
    </row>
    <row r="39" spans="1:6" ht="30">
      <c r="A39" s="34"/>
      <c r="B39" s="2" t="s">
        <v>56</v>
      </c>
      <c r="C39" s="3" t="s">
        <v>57</v>
      </c>
      <c r="D39" s="5" t="s">
        <v>248</v>
      </c>
      <c r="E39" s="11"/>
      <c r="F39" s="19"/>
    </row>
    <row r="40" spans="1:6" ht="30">
      <c r="A40" s="35"/>
      <c r="B40" s="2" t="s">
        <v>58</v>
      </c>
      <c r="C40" s="3" t="s">
        <v>59</v>
      </c>
      <c r="D40" s="5" t="s">
        <v>248</v>
      </c>
      <c r="E40" s="11"/>
      <c r="F40" s="19"/>
    </row>
    <row r="41" spans="1:6" ht="17.399999999999999">
      <c r="A41" s="36" t="s">
        <v>60</v>
      </c>
      <c r="B41" s="2" t="s">
        <v>61</v>
      </c>
      <c r="C41" s="3" t="s">
        <v>62</v>
      </c>
      <c r="D41" s="5" t="s">
        <v>248</v>
      </c>
      <c r="E41" s="11"/>
      <c r="F41" s="19"/>
    </row>
    <row r="42" spans="1:6" ht="30">
      <c r="A42" s="34"/>
      <c r="B42" s="2" t="s">
        <v>63</v>
      </c>
      <c r="C42" s="3" t="s">
        <v>64</v>
      </c>
      <c r="D42" s="5" t="s">
        <v>248</v>
      </c>
      <c r="E42" s="11"/>
      <c r="F42" s="19"/>
    </row>
    <row r="43" spans="1:6" ht="30">
      <c r="A43" s="34"/>
      <c r="B43" s="2" t="s">
        <v>65</v>
      </c>
      <c r="C43" s="3" t="s">
        <v>66</v>
      </c>
      <c r="D43" s="5" t="s">
        <v>248</v>
      </c>
      <c r="E43" s="11"/>
      <c r="F43" s="19"/>
    </row>
    <row r="44" spans="1:6" ht="30">
      <c r="A44" s="34"/>
      <c r="B44" s="2" t="s">
        <v>67</v>
      </c>
      <c r="C44" s="3" t="s">
        <v>68</v>
      </c>
      <c r="D44" s="5" t="s">
        <v>248</v>
      </c>
      <c r="E44" s="11"/>
      <c r="F44" s="19"/>
    </row>
    <row r="45" spans="1:6" ht="17.399999999999999">
      <c r="A45" s="34"/>
      <c r="B45" s="2" t="s">
        <v>69</v>
      </c>
      <c r="C45" s="3" t="s">
        <v>70</v>
      </c>
      <c r="D45" s="5" t="s">
        <v>248</v>
      </c>
      <c r="E45" s="11"/>
      <c r="F45" s="19"/>
    </row>
    <row r="46" spans="1:6" ht="30">
      <c r="A46" s="34"/>
      <c r="B46" s="2" t="s">
        <v>71</v>
      </c>
      <c r="C46" s="3" t="s">
        <v>72</v>
      </c>
      <c r="D46" s="5" t="s">
        <v>248</v>
      </c>
      <c r="E46" s="11"/>
      <c r="F46" s="19"/>
    </row>
    <row r="47" spans="1:6" ht="45">
      <c r="A47" s="34"/>
      <c r="B47" s="2" t="s">
        <v>73</v>
      </c>
      <c r="C47" s="3" t="s">
        <v>74</v>
      </c>
      <c r="D47" s="5" t="s">
        <v>248</v>
      </c>
      <c r="E47" s="11"/>
      <c r="F47" s="19"/>
    </row>
    <row r="48" spans="1:6" ht="30">
      <c r="A48" s="35"/>
      <c r="B48" s="2" t="s">
        <v>75</v>
      </c>
      <c r="C48" s="3" t="s">
        <v>76</v>
      </c>
      <c r="D48" s="5" t="s">
        <v>248</v>
      </c>
      <c r="E48" s="11"/>
      <c r="F48" s="19"/>
    </row>
    <row r="49" spans="1:6" ht="17.399999999999999">
      <c r="A49" s="36" t="s">
        <v>77</v>
      </c>
      <c r="B49" s="2" t="s">
        <v>78</v>
      </c>
      <c r="C49" s="3" t="s">
        <v>79</v>
      </c>
      <c r="D49" s="5" t="s">
        <v>248</v>
      </c>
      <c r="E49" s="11"/>
      <c r="F49" s="19"/>
    </row>
    <row r="50" spans="1:6" ht="17.399999999999999">
      <c r="A50" s="35"/>
      <c r="B50" s="2" t="s">
        <v>80</v>
      </c>
      <c r="C50" s="3" t="s">
        <v>81</v>
      </c>
      <c r="D50" s="5" t="s">
        <v>248</v>
      </c>
      <c r="E50" s="11"/>
      <c r="F50" s="19"/>
    </row>
    <row r="51" spans="1:6" ht="409.05" customHeight="1">
      <c r="A51" s="36" t="s">
        <v>82</v>
      </c>
      <c r="B51" s="2" t="s">
        <v>83</v>
      </c>
      <c r="C51" s="3" t="s">
        <v>84</v>
      </c>
      <c r="D51" s="5" t="s">
        <v>250</v>
      </c>
      <c r="E51" s="11" t="s">
        <v>252</v>
      </c>
      <c r="F51" s="41" t="s">
        <v>269</v>
      </c>
    </row>
    <row r="52" spans="1:6" ht="30">
      <c r="A52" s="34"/>
      <c r="B52" s="2" t="s">
        <v>85</v>
      </c>
      <c r="C52" s="3" t="s">
        <v>86</v>
      </c>
      <c r="D52" s="5" t="s">
        <v>248</v>
      </c>
      <c r="E52" s="11"/>
      <c r="F52" s="19"/>
    </row>
    <row r="53" spans="1:6" ht="45">
      <c r="A53" s="34"/>
      <c r="B53" s="2" t="s">
        <v>87</v>
      </c>
      <c r="C53" s="3" t="s">
        <v>88</v>
      </c>
      <c r="D53" s="5" t="s">
        <v>250</v>
      </c>
      <c r="E53" s="11" t="s">
        <v>259</v>
      </c>
      <c r="F53" s="19"/>
    </row>
    <row r="54" spans="1:6" ht="30">
      <c r="A54" s="34"/>
      <c r="B54" s="2" t="s">
        <v>89</v>
      </c>
      <c r="C54" s="3" t="s">
        <v>90</v>
      </c>
      <c r="D54" s="5" t="s">
        <v>248</v>
      </c>
      <c r="E54" s="11"/>
      <c r="F54" s="19"/>
    </row>
    <row r="55" spans="1:6" ht="30">
      <c r="A55" s="35"/>
      <c r="B55" s="2" t="s">
        <v>91</v>
      </c>
      <c r="C55" s="3" t="s">
        <v>92</v>
      </c>
      <c r="D55" s="5" t="s">
        <v>248</v>
      </c>
      <c r="E55" s="11"/>
      <c r="F55" s="19"/>
    </row>
    <row r="56" spans="1:6" ht="17.399999999999999">
      <c r="A56" s="36" t="s">
        <v>93</v>
      </c>
      <c r="B56" s="2" t="s">
        <v>94</v>
      </c>
      <c r="C56" s="3" t="s">
        <v>95</v>
      </c>
      <c r="D56" s="5" t="s">
        <v>248</v>
      </c>
      <c r="E56" s="11"/>
      <c r="F56" s="19"/>
    </row>
    <row r="57" spans="1:6" ht="30">
      <c r="A57" s="34"/>
      <c r="B57" s="2" t="s">
        <v>96</v>
      </c>
      <c r="C57" s="3" t="s">
        <v>97</v>
      </c>
      <c r="D57" s="5" t="s">
        <v>263</v>
      </c>
      <c r="E57" s="11" t="s">
        <v>267</v>
      </c>
      <c r="F57" s="19"/>
    </row>
    <row r="58" spans="1:6" ht="17.399999999999999">
      <c r="A58" s="34"/>
      <c r="B58" s="2" t="s">
        <v>98</v>
      </c>
      <c r="C58" s="3" t="s">
        <v>99</v>
      </c>
      <c r="D58" s="5" t="s">
        <v>248</v>
      </c>
      <c r="E58" s="11"/>
      <c r="F58" s="19"/>
    </row>
    <row r="59" spans="1:6" ht="30">
      <c r="A59" s="34"/>
      <c r="B59" s="2" t="s">
        <v>100</v>
      </c>
      <c r="C59" s="3" t="s">
        <v>101</v>
      </c>
      <c r="D59" s="5" t="s">
        <v>248</v>
      </c>
      <c r="E59" s="11"/>
      <c r="F59" s="19"/>
    </row>
    <row r="60" spans="1:6" ht="17.399999999999999">
      <c r="A60" s="34"/>
      <c r="B60" s="2" t="s">
        <v>102</v>
      </c>
      <c r="C60" s="3" t="s">
        <v>103</v>
      </c>
      <c r="D60" s="5" t="s">
        <v>248</v>
      </c>
      <c r="E60" s="11"/>
      <c r="F60" s="19"/>
    </row>
    <row r="61" spans="1:6" ht="17.399999999999999">
      <c r="A61" s="34"/>
      <c r="B61" s="2" t="s">
        <v>104</v>
      </c>
      <c r="C61" s="3" t="s">
        <v>105</v>
      </c>
      <c r="D61" s="5" t="s">
        <v>248</v>
      </c>
      <c r="E61" s="11"/>
      <c r="F61" s="19"/>
    </row>
    <row r="62" spans="1:6" ht="30">
      <c r="A62" s="34"/>
      <c r="B62" s="2" t="s">
        <v>106</v>
      </c>
      <c r="C62" s="3" t="s">
        <v>107</v>
      </c>
      <c r="D62" s="5" t="s">
        <v>248</v>
      </c>
      <c r="E62" s="11"/>
      <c r="F62" s="19"/>
    </row>
    <row r="63" spans="1:6" ht="30">
      <c r="A63" s="34"/>
      <c r="B63" s="2" t="s">
        <v>108</v>
      </c>
      <c r="C63" s="3" t="s">
        <v>109</v>
      </c>
      <c r="D63" s="5" t="s">
        <v>248</v>
      </c>
      <c r="E63" s="11"/>
      <c r="F63" s="19"/>
    </row>
    <row r="64" spans="1:6" ht="30">
      <c r="A64" s="34"/>
      <c r="B64" s="2" t="s">
        <v>110</v>
      </c>
      <c r="C64" s="3" t="s">
        <v>111</v>
      </c>
      <c r="D64" s="5" t="s">
        <v>248</v>
      </c>
      <c r="E64" s="11"/>
      <c r="F64" s="19"/>
    </row>
    <row r="65" spans="1:6" ht="30">
      <c r="A65" s="35"/>
      <c r="B65" s="2" t="s">
        <v>112</v>
      </c>
      <c r="C65" s="3" t="s">
        <v>113</v>
      </c>
      <c r="D65" s="5" t="s">
        <v>248</v>
      </c>
      <c r="E65" s="11"/>
      <c r="F65" s="19"/>
    </row>
    <row r="66" spans="1:6" ht="30">
      <c r="A66" s="36" t="s">
        <v>114</v>
      </c>
      <c r="B66" s="2" t="s">
        <v>115</v>
      </c>
      <c r="C66" s="3" t="s">
        <v>116</v>
      </c>
      <c r="D66" s="5" t="s">
        <v>248</v>
      </c>
      <c r="E66" s="11"/>
      <c r="F66" s="19"/>
    </row>
    <row r="67" spans="1:6" ht="30">
      <c r="A67" s="34"/>
      <c r="B67" s="2" t="s">
        <v>117</v>
      </c>
      <c r="C67" s="3" t="s">
        <v>118</v>
      </c>
      <c r="D67" s="5" t="s">
        <v>248</v>
      </c>
      <c r="E67" s="11"/>
      <c r="F67" s="19"/>
    </row>
    <row r="68" spans="1:6" ht="17.399999999999999">
      <c r="A68" s="34"/>
      <c r="B68" s="2" t="s">
        <v>119</v>
      </c>
      <c r="C68" s="3" t="s">
        <v>120</v>
      </c>
      <c r="D68" s="5" t="s">
        <v>248</v>
      </c>
      <c r="E68" s="11"/>
      <c r="F68" s="19"/>
    </row>
    <row r="69" spans="1:6" ht="17.399999999999999">
      <c r="A69" s="35"/>
      <c r="B69" s="2" t="s">
        <v>121</v>
      </c>
      <c r="C69" s="3" t="s">
        <v>122</v>
      </c>
      <c r="D69" s="5" t="s">
        <v>248</v>
      </c>
      <c r="E69" s="11"/>
      <c r="F69" s="19"/>
    </row>
    <row r="70" spans="1:6" ht="60">
      <c r="A70" s="36" t="s">
        <v>123</v>
      </c>
      <c r="B70" s="2" t="s">
        <v>124</v>
      </c>
      <c r="C70" s="3" t="s">
        <v>125</v>
      </c>
      <c r="D70" s="5" t="s">
        <v>263</v>
      </c>
      <c r="E70" s="17" t="s">
        <v>260</v>
      </c>
      <c r="F70" s="19"/>
    </row>
    <row r="71" spans="1:6" ht="30">
      <c r="A71" s="34"/>
      <c r="B71" s="2" t="s">
        <v>126</v>
      </c>
      <c r="C71" s="3" t="s">
        <v>127</v>
      </c>
      <c r="D71" s="5" t="s">
        <v>263</v>
      </c>
      <c r="E71" s="16" t="s">
        <v>261</v>
      </c>
      <c r="F71" s="19"/>
    </row>
    <row r="72" spans="1:6" ht="30">
      <c r="A72" s="34"/>
      <c r="B72" s="2" t="s">
        <v>128</v>
      </c>
      <c r="C72" s="3" t="s">
        <v>129</v>
      </c>
      <c r="D72" s="5" t="s">
        <v>263</v>
      </c>
      <c r="E72" s="17" t="s">
        <v>262</v>
      </c>
      <c r="F72" s="19"/>
    </row>
    <row r="73" spans="1:6" ht="45">
      <c r="A73" s="34"/>
      <c r="B73" s="2" t="s">
        <v>130</v>
      </c>
      <c r="C73" s="3" t="s">
        <v>131</v>
      </c>
      <c r="D73" s="5" t="s">
        <v>248</v>
      </c>
      <c r="E73" s="16"/>
      <c r="F73" s="19"/>
    </row>
    <row r="74" spans="1:6" ht="30">
      <c r="A74" s="34"/>
      <c r="B74" s="2" t="s">
        <v>132</v>
      </c>
      <c r="C74" s="3" t="s">
        <v>133</v>
      </c>
      <c r="D74" s="5" t="s">
        <v>248</v>
      </c>
      <c r="E74" s="11"/>
      <c r="F74" s="19"/>
    </row>
    <row r="75" spans="1:6" ht="30">
      <c r="A75" s="34"/>
      <c r="B75" s="2" t="s">
        <v>134</v>
      </c>
      <c r="C75" s="3" t="s">
        <v>135</v>
      </c>
      <c r="D75" s="5" t="s">
        <v>248</v>
      </c>
      <c r="E75" s="11"/>
      <c r="F75" s="19"/>
    </row>
    <row r="76" spans="1:6" ht="45">
      <c r="A76" s="34"/>
      <c r="B76" s="2" t="s">
        <v>136</v>
      </c>
      <c r="C76" s="3" t="s">
        <v>137</v>
      </c>
      <c r="D76" s="5" t="s">
        <v>250</v>
      </c>
      <c r="E76" s="11" t="s">
        <v>266</v>
      </c>
      <c r="F76" s="41" t="s">
        <v>270</v>
      </c>
    </row>
    <row r="77" spans="1:6" ht="30">
      <c r="A77" s="34"/>
      <c r="B77" s="2" t="s">
        <v>138</v>
      </c>
      <c r="C77" s="3" t="s">
        <v>139</v>
      </c>
      <c r="D77" s="5" t="s">
        <v>248</v>
      </c>
      <c r="E77" s="11"/>
      <c r="F77" s="19"/>
    </row>
    <row r="78" spans="1:6" ht="45">
      <c r="A78" s="34"/>
      <c r="B78" s="2" t="s">
        <v>140</v>
      </c>
      <c r="C78" s="3" t="s">
        <v>141</v>
      </c>
      <c r="D78" s="5" t="s">
        <v>248</v>
      </c>
      <c r="E78" s="11"/>
      <c r="F78" s="19"/>
    </row>
    <row r="79" spans="1:6" ht="45">
      <c r="A79" s="34"/>
      <c r="B79" s="2" t="s">
        <v>142</v>
      </c>
      <c r="C79" s="3" t="s">
        <v>143</v>
      </c>
      <c r="D79" s="5" t="s">
        <v>248</v>
      </c>
      <c r="E79" s="11"/>
      <c r="F79" s="19"/>
    </row>
    <row r="80" spans="1:6" ht="75">
      <c r="A80" s="34"/>
      <c r="B80" s="2" t="s">
        <v>144</v>
      </c>
      <c r="C80" s="3" t="s">
        <v>145</v>
      </c>
      <c r="D80" s="5" t="s">
        <v>263</v>
      </c>
      <c r="E80" s="11" t="s">
        <v>264</v>
      </c>
      <c r="F80" s="19"/>
    </row>
    <row r="81" spans="1:6" ht="45">
      <c r="A81" s="34"/>
      <c r="B81" s="2" t="s">
        <v>146</v>
      </c>
      <c r="C81" s="3" t="s">
        <v>147</v>
      </c>
      <c r="D81" s="5" t="s">
        <v>248</v>
      </c>
      <c r="E81" s="17"/>
      <c r="F81" s="19"/>
    </row>
    <row r="82" spans="1:6" ht="45">
      <c r="A82" s="34"/>
      <c r="B82" s="2" t="s">
        <v>148</v>
      </c>
      <c r="C82" s="3" t="s">
        <v>149</v>
      </c>
      <c r="D82" s="5" t="s">
        <v>248</v>
      </c>
      <c r="E82" s="11"/>
      <c r="F82" s="19"/>
    </row>
    <row r="83" spans="1:6" ht="45">
      <c r="A83" s="35"/>
      <c r="B83" s="2" t="s">
        <v>150</v>
      </c>
      <c r="C83" s="3" t="s">
        <v>151</v>
      </c>
      <c r="D83" s="5" t="s">
        <v>248</v>
      </c>
      <c r="E83" s="11"/>
      <c r="F83" s="19"/>
    </row>
    <row r="84" spans="1:6" ht="17.399999999999999">
      <c r="A84" s="36" t="s">
        <v>152</v>
      </c>
      <c r="B84" s="2" t="s">
        <v>153</v>
      </c>
      <c r="C84" s="3" t="s">
        <v>154</v>
      </c>
      <c r="D84" s="5" t="s">
        <v>248</v>
      </c>
      <c r="E84" s="11"/>
      <c r="F84" s="19"/>
    </row>
    <row r="85" spans="1:6" ht="30">
      <c r="A85" s="34"/>
      <c r="B85" s="2" t="s">
        <v>155</v>
      </c>
      <c r="C85" s="3" t="s">
        <v>156</v>
      </c>
      <c r="D85" s="5" t="s">
        <v>248</v>
      </c>
      <c r="E85" s="11"/>
      <c r="F85" s="19"/>
    </row>
    <row r="86" spans="1:6" ht="45">
      <c r="A86" s="34"/>
      <c r="B86" s="2" t="s">
        <v>157</v>
      </c>
      <c r="C86" s="3" t="s">
        <v>158</v>
      </c>
      <c r="D86" s="5" t="s">
        <v>248</v>
      </c>
      <c r="E86" s="11"/>
      <c r="F86" s="19"/>
    </row>
    <row r="87" spans="1:6" ht="30">
      <c r="A87" s="34"/>
      <c r="B87" s="2" t="s">
        <v>159</v>
      </c>
      <c r="C87" s="3" t="s">
        <v>160</v>
      </c>
      <c r="D87" s="5" t="s">
        <v>248</v>
      </c>
      <c r="E87" s="11"/>
      <c r="F87" s="19"/>
    </row>
    <row r="88" spans="1:6" ht="30">
      <c r="A88" s="34"/>
      <c r="B88" s="2" t="s">
        <v>161</v>
      </c>
      <c r="C88" s="3" t="s">
        <v>162</v>
      </c>
      <c r="D88" s="5" t="s">
        <v>248</v>
      </c>
      <c r="E88" s="11"/>
      <c r="F88" s="19"/>
    </row>
    <row r="89" spans="1:6" ht="30">
      <c r="A89" s="34"/>
      <c r="B89" s="2" t="s">
        <v>163</v>
      </c>
      <c r="C89" s="3" t="s">
        <v>164</v>
      </c>
      <c r="D89" s="5" t="s">
        <v>248</v>
      </c>
      <c r="E89" s="11"/>
      <c r="F89" s="19"/>
    </row>
    <row r="90" spans="1:6" ht="30">
      <c r="A90" s="34"/>
      <c r="B90" s="2" t="s">
        <v>165</v>
      </c>
      <c r="C90" s="3" t="s">
        <v>166</v>
      </c>
      <c r="D90" s="5" t="s">
        <v>248</v>
      </c>
      <c r="E90" s="11"/>
      <c r="F90" s="19"/>
    </row>
    <row r="91" spans="1:6" ht="30">
      <c r="A91" s="34"/>
      <c r="B91" s="2" t="s">
        <v>167</v>
      </c>
      <c r="C91" s="3" t="s">
        <v>168</v>
      </c>
      <c r="D91" s="5" t="s">
        <v>248</v>
      </c>
      <c r="E91" s="11"/>
      <c r="F91" s="19"/>
    </row>
    <row r="92" spans="1:6" ht="30">
      <c r="A92" s="34"/>
      <c r="B92" s="2" t="s">
        <v>169</v>
      </c>
      <c r="C92" s="3" t="s">
        <v>170</v>
      </c>
      <c r="D92" s="5" t="s">
        <v>248</v>
      </c>
      <c r="E92" s="11"/>
      <c r="F92" s="19"/>
    </row>
    <row r="93" spans="1:6" ht="30">
      <c r="A93" s="34"/>
      <c r="B93" s="2" t="s">
        <v>171</v>
      </c>
      <c r="C93" s="3" t="s">
        <v>172</v>
      </c>
      <c r="D93" s="5" t="s">
        <v>248</v>
      </c>
      <c r="E93" s="11"/>
      <c r="F93" s="19"/>
    </row>
    <row r="94" spans="1:6" ht="30">
      <c r="A94" s="34"/>
      <c r="B94" s="2" t="s">
        <v>173</v>
      </c>
      <c r="C94" s="3" t="s">
        <v>174</v>
      </c>
      <c r="D94" s="5" t="s">
        <v>248</v>
      </c>
      <c r="E94" s="11"/>
      <c r="F94" s="19"/>
    </row>
    <row r="95" spans="1:6" ht="60">
      <c r="A95" s="34"/>
      <c r="B95" s="2" t="s">
        <v>175</v>
      </c>
      <c r="C95" s="3" t="s">
        <v>176</v>
      </c>
      <c r="D95" s="5" t="s">
        <v>248</v>
      </c>
      <c r="E95" s="11"/>
      <c r="F95" s="19"/>
    </row>
    <row r="96" spans="1:6" ht="30">
      <c r="A96" s="35"/>
      <c r="B96" s="2" t="s">
        <v>177</v>
      </c>
      <c r="C96" s="3" t="s">
        <v>178</v>
      </c>
      <c r="D96" s="5" t="s">
        <v>248</v>
      </c>
      <c r="E96" s="11"/>
      <c r="F96" s="19"/>
    </row>
    <row r="97" spans="1:6" ht="30">
      <c r="A97" s="36" t="s">
        <v>179</v>
      </c>
      <c r="B97" s="2" t="s">
        <v>180</v>
      </c>
      <c r="C97" s="3" t="s">
        <v>181</v>
      </c>
      <c r="D97" s="5" t="s">
        <v>248</v>
      </c>
      <c r="E97" s="11"/>
      <c r="F97" s="19"/>
    </row>
    <row r="98" spans="1:6" ht="30">
      <c r="A98" s="34"/>
      <c r="B98" s="2" t="s">
        <v>182</v>
      </c>
      <c r="C98" s="3" t="s">
        <v>183</v>
      </c>
      <c r="D98" s="5" t="s">
        <v>248</v>
      </c>
      <c r="E98" s="11"/>
      <c r="F98" s="19"/>
    </row>
    <row r="99" spans="1:6" ht="17.399999999999999">
      <c r="A99" s="34"/>
      <c r="B99" s="2" t="s">
        <v>184</v>
      </c>
      <c r="C99" s="3" t="s">
        <v>185</v>
      </c>
      <c r="D99" s="5" t="s">
        <v>248</v>
      </c>
      <c r="E99" s="11"/>
      <c r="F99" s="19"/>
    </row>
    <row r="100" spans="1:6" ht="30">
      <c r="A100" s="34"/>
      <c r="B100" s="2" t="s">
        <v>186</v>
      </c>
      <c r="C100" s="3" t="s">
        <v>187</v>
      </c>
      <c r="D100" s="5" t="s">
        <v>248</v>
      </c>
      <c r="E100" s="11"/>
      <c r="F100" s="19"/>
    </row>
    <row r="101" spans="1:6" ht="30">
      <c r="A101" s="34"/>
      <c r="B101" s="2" t="s">
        <v>188</v>
      </c>
      <c r="C101" s="3" t="s">
        <v>189</v>
      </c>
      <c r="D101" s="5" t="s">
        <v>248</v>
      </c>
      <c r="E101" s="11"/>
      <c r="F101" s="19"/>
    </row>
    <row r="102" spans="1:6" ht="60">
      <c r="A102" s="34"/>
      <c r="B102" s="2" t="s">
        <v>190</v>
      </c>
      <c r="C102" s="3" t="s">
        <v>191</v>
      </c>
      <c r="D102" s="5" t="s">
        <v>248</v>
      </c>
      <c r="E102" s="11"/>
      <c r="F102" s="19"/>
    </row>
    <row r="103" spans="1:6" ht="30">
      <c r="A103" s="34"/>
      <c r="B103" s="2" t="s">
        <v>192</v>
      </c>
      <c r="C103" s="3" t="s">
        <v>193</v>
      </c>
      <c r="D103" s="5" t="s">
        <v>248</v>
      </c>
      <c r="E103" s="11"/>
      <c r="F103" s="19"/>
    </row>
    <row r="104" spans="1:6" ht="17.399999999999999">
      <c r="A104" s="34"/>
      <c r="B104" s="2" t="s">
        <v>194</v>
      </c>
      <c r="C104" s="3" t="s">
        <v>195</v>
      </c>
      <c r="D104" s="5" t="s">
        <v>248</v>
      </c>
      <c r="E104" s="11"/>
      <c r="F104" s="19"/>
    </row>
    <row r="105" spans="1:6" ht="30">
      <c r="A105" s="34"/>
      <c r="B105" s="2" t="s">
        <v>196</v>
      </c>
      <c r="C105" s="3" t="s">
        <v>197</v>
      </c>
      <c r="D105" s="5" t="s">
        <v>263</v>
      </c>
      <c r="E105" s="11" t="s">
        <v>265</v>
      </c>
      <c r="F105" s="19"/>
    </row>
    <row r="106" spans="1:6" ht="45">
      <c r="A106" s="34"/>
      <c r="B106" s="2" t="s">
        <v>198</v>
      </c>
      <c r="C106" s="3" t="s">
        <v>199</v>
      </c>
      <c r="D106" s="5" t="s">
        <v>248</v>
      </c>
      <c r="E106" s="11"/>
      <c r="F106" s="19"/>
    </row>
    <row r="107" spans="1:6" ht="45">
      <c r="A107" s="35"/>
      <c r="B107" s="2" t="s">
        <v>200</v>
      </c>
      <c r="C107" s="3" t="s">
        <v>201</v>
      </c>
      <c r="D107" s="5" t="s">
        <v>248</v>
      </c>
      <c r="E107" s="11"/>
      <c r="F107" s="19"/>
    </row>
    <row r="108" spans="1:6" ht="30">
      <c r="A108" s="36" t="s">
        <v>202</v>
      </c>
      <c r="B108" s="2" t="s">
        <v>203</v>
      </c>
      <c r="C108" s="3" t="s">
        <v>204</v>
      </c>
      <c r="D108" s="5" t="s">
        <v>248</v>
      </c>
      <c r="E108" s="11"/>
      <c r="F108" s="19"/>
    </row>
    <row r="109" spans="1:6" ht="45">
      <c r="A109" s="34"/>
      <c r="B109" s="2" t="s">
        <v>205</v>
      </c>
      <c r="C109" s="3" t="s">
        <v>206</v>
      </c>
      <c r="D109" s="5" t="s">
        <v>248</v>
      </c>
      <c r="E109" s="11"/>
      <c r="F109" s="19"/>
    </row>
    <row r="110" spans="1:6" ht="45">
      <c r="A110" s="34"/>
      <c r="B110" s="2" t="s">
        <v>207</v>
      </c>
      <c r="C110" s="3" t="s">
        <v>208</v>
      </c>
      <c r="D110" s="5" t="s">
        <v>248</v>
      </c>
      <c r="E110" s="11"/>
      <c r="F110" s="19"/>
    </row>
    <row r="111" spans="1:6" ht="30">
      <c r="A111" s="34"/>
      <c r="B111" s="2" t="s">
        <v>209</v>
      </c>
      <c r="C111" s="3" t="s">
        <v>210</v>
      </c>
      <c r="D111" s="5" t="s">
        <v>248</v>
      </c>
      <c r="E111" s="11"/>
      <c r="F111" s="19"/>
    </row>
    <row r="112" spans="1:6" ht="30">
      <c r="A112" s="34"/>
      <c r="B112" s="2" t="s">
        <v>211</v>
      </c>
      <c r="C112" s="3" t="s">
        <v>212</v>
      </c>
      <c r="D112" s="5" t="s">
        <v>248</v>
      </c>
      <c r="E112" s="11"/>
      <c r="F112" s="19"/>
    </row>
    <row r="113" spans="1:6" ht="45">
      <c r="A113" s="34"/>
      <c r="B113" s="2" t="s">
        <v>213</v>
      </c>
      <c r="C113" s="3" t="s">
        <v>214</v>
      </c>
      <c r="D113" s="5" t="s">
        <v>248</v>
      </c>
      <c r="E113" s="11"/>
      <c r="F113" s="19"/>
    </row>
    <row r="114" spans="1:6" ht="30">
      <c r="A114" s="34"/>
      <c r="B114" s="2" t="s">
        <v>215</v>
      </c>
      <c r="C114" s="3" t="s">
        <v>216</v>
      </c>
      <c r="D114" s="5" t="s">
        <v>248</v>
      </c>
      <c r="E114" s="11"/>
      <c r="F114" s="19"/>
    </row>
    <row r="115" spans="1:6" ht="30">
      <c r="A115" s="34"/>
      <c r="B115" s="2" t="s">
        <v>217</v>
      </c>
      <c r="C115" s="3" t="s">
        <v>218</v>
      </c>
      <c r="D115" s="5" t="s">
        <v>248</v>
      </c>
      <c r="E115" s="11"/>
      <c r="F115" s="19"/>
    </row>
    <row r="116" spans="1:6" ht="30">
      <c r="A116" s="34"/>
      <c r="B116" s="2" t="s">
        <v>219</v>
      </c>
      <c r="C116" s="3" t="s">
        <v>220</v>
      </c>
      <c r="D116" s="5" t="s">
        <v>248</v>
      </c>
      <c r="E116" s="11"/>
      <c r="F116" s="19"/>
    </row>
    <row r="117" spans="1:6" ht="45">
      <c r="A117" s="34"/>
      <c r="B117" s="2" t="s">
        <v>221</v>
      </c>
      <c r="C117" s="3" t="s">
        <v>222</v>
      </c>
      <c r="D117" s="5" t="s">
        <v>248</v>
      </c>
      <c r="E117" s="11"/>
      <c r="F117" s="19"/>
    </row>
    <row r="118" spans="1:6" ht="45">
      <c r="A118" s="34"/>
      <c r="B118" s="2" t="s">
        <v>223</v>
      </c>
      <c r="C118" s="3" t="s">
        <v>224</v>
      </c>
      <c r="D118" s="5" t="s">
        <v>248</v>
      </c>
      <c r="E118" s="11"/>
      <c r="F118" s="19"/>
    </row>
    <row r="119" spans="1:6" ht="45">
      <c r="A119" s="35"/>
      <c r="B119" s="2" t="s">
        <v>225</v>
      </c>
      <c r="C119" s="3" t="s">
        <v>226</v>
      </c>
      <c r="D119" s="5" t="s">
        <v>248</v>
      </c>
      <c r="E119" s="11"/>
      <c r="F119" s="19"/>
    </row>
    <row r="123" spans="1:6">
      <c r="A123" s="39" t="s">
        <v>235</v>
      </c>
      <c r="B123" s="39"/>
      <c r="C123" s="39"/>
      <c r="D123" s="39"/>
      <c r="E123" s="10" t="s">
        <v>236</v>
      </c>
    </row>
    <row r="124" spans="1:6" ht="331.05" customHeight="1">
      <c r="A124" s="40" t="s">
        <v>253</v>
      </c>
      <c r="B124" s="40"/>
      <c r="C124" s="40"/>
      <c r="D124" s="40"/>
      <c r="E124" s="15" t="s">
        <v>246</v>
      </c>
    </row>
    <row r="125" spans="1:6" ht="129" customHeight="1">
      <c r="A125" s="21" t="s">
        <v>254</v>
      </c>
      <c r="B125" s="37"/>
      <c r="C125" s="37"/>
      <c r="D125" s="38"/>
      <c r="E125" s="15" t="s">
        <v>246</v>
      </c>
    </row>
    <row r="126" spans="1:6" ht="115.05" customHeight="1">
      <c r="A126" s="21" t="s">
        <v>255</v>
      </c>
      <c r="B126" s="37"/>
      <c r="C126" s="37"/>
      <c r="D126" s="38"/>
      <c r="E126" s="15" t="s">
        <v>246</v>
      </c>
    </row>
    <row r="127" spans="1:6" ht="327" customHeight="1">
      <c r="A127" s="21" t="s">
        <v>256</v>
      </c>
      <c r="B127" s="22"/>
      <c r="C127" s="22"/>
      <c r="D127" s="23"/>
      <c r="E127" s="15" t="s">
        <v>246</v>
      </c>
    </row>
    <row r="128" spans="1:6" ht="154.94999999999999" customHeight="1">
      <c r="A128" s="21" t="s">
        <v>258</v>
      </c>
      <c r="B128" s="22"/>
      <c r="C128" s="22"/>
      <c r="D128" s="23"/>
      <c r="E128" s="15" t="s">
        <v>246</v>
      </c>
    </row>
    <row r="129" spans="1:5" ht="184.95" customHeight="1">
      <c r="A129" s="21" t="s">
        <v>257</v>
      </c>
      <c r="B129" s="22"/>
      <c r="C129" s="22"/>
      <c r="D129" s="23"/>
      <c r="E129" s="15" t="s">
        <v>246</v>
      </c>
    </row>
  </sheetData>
  <mergeCells count="31">
    <mergeCell ref="A11:C11"/>
    <mergeCell ref="A127:D127"/>
    <mergeCell ref="A125:D125"/>
    <mergeCell ref="A126:D126"/>
    <mergeCell ref="A41:A48"/>
    <mergeCell ref="A123:D123"/>
    <mergeCell ref="A124:D124"/>
    <mergeCell ref="A97:A107"/>
    <mergeCell ref="A108:A119"/>
    <mergeCell ref="A49:A50"/>
    <mergeCell ref="A51:A55"/>
    <mergeCell ref="A56:A65"/>
    <mergeCell ref="A66:A69"/>
    <mergeCell ref="A70:A83"/>
    <mergeCell ref="A84:A96"/>
    <mergeCell ref="A128:D128"/>
    <mergeCell ref="A129:D129"/>
    <mergeCell ref="A1:D1"/>
    <mergeCell ref="A5:C5"/>
    <mergeCell ref="A6:C6"/>
    <mergeCell ref="A8:C8"/>
    <mergeCell ref="A9:C9"/>
    <mergeCell ref="A3:C3"/>
    <mergeCell ref="A4:C4"/>
    <mergeCell ref="A2:C2"/>
    <mergeCell ref="A10:C10"/>
    <mergeCell ref="A7:C7"/>
    <mergeCell ref="A14:A22"/>
    <mergeCell ref="A23:A24"/>
    <mergeCell ref="A25:A27"/>
    <mergeCell ref="A28:A40"/>
  </mergeCells>
  <conditionalFormatting sqref="D14:E69 D81 D70:D75 D82:E119 D74:E80">
    <cfRule type="expression" dxfId="9" priority="7">
      <formula>$D14="Non testé"</formula>
    </cfRule>
    <cfRule type="expression" dxfId="8" priority="8">
      <formula>$D14="Dérogé"</formula>
    </cfRule>
    <cfRule type="expression" dxfId="7" priority="9">
      <formula>$D14="Conforme"</formula>
    </cfRule>
    <cfRule type="expression" dxfId="6" priority="10">
      <formula>$D14="Non conforme"</formula>
    </cfRule>
  </conditionalFormatting>
  <conditionalFormatting sqref="E70:E73">
    <cfRule type="expression" dxfId="5" priority="4">
      <formula>$D70="Non testé"</formula>
    </cfRule>
  </conditionalFormatting>
  <conditionalFormatting sqref="E70:E73">
    <cfRule type="expression" dxfId="4" priority="5">
      <formula>$D70="Conforme"</formula>
    </cfRule>
    <cfRule type="expression" dxfId="3" priority="6">
      <formula>$D70="Non conforme"</formula>
    </cfRule>
  </conditionalFormatting>
  <conditionalFormatting sqref="E81">
    <cfRule type="expression" dxfId="2" priority="1">
      <formula>$D81="Non testé"</formula>
    </cfRule>
    <cfRule type="expression" dxfId="1" priority="2">
      <formula>$D81="Conforme"</formula>
    </cfRule>
    <cfRule type="expression" dxfId="0" priority="3">
      <formula>$D81="Non conforme"</formula>
    </cfRule>
  </conditionalFormatting>
  <dataValidations count="2">
    <dataValidation type="list" allowBlank="1" showInputMessage="1" showErrorMessage="1" sqref="D14:D119">
      <formula1>"Conforme,Non conforme,Non applicable,Dérogé,Non testé"</formula1>
    </dataValidation>
    <dataValidation allowBlank="1" showInputMessage="1" showErrorMessage="1" prompt="Format JJ/MM/AAAA" sqref="D3"/>
  </dataValidation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ToolbarContainer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Julien Roche</dc:creator>
  <cp:lastModifiedBy>CHARRIER ADRIEN (CNAM / Lyon)</cp:lastModifiedBy>
  <dcterms:created xsi:type="dcterms:W3CDTF">2025-03-05T16:22:31Z</dcterms:created>
  <dcterms:modified xsi:type="dcterms:W3CDTF">2025-12-30T11:03:34Z</dcterms:modified>
</cp:coreProperties>
</file>
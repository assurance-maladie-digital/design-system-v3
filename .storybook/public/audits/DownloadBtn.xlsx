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0D6B2B61-D2E0-4C23-AFFA-2DEECD51BF2B}" xr6:coauthVersionLast="47" xr6:coauthVersionMax="47" xr10:uidLastSave="{00000000-0000-0000-0000-000000000000}"/>
  <bookViews>
    <workbookView xWindow="0" yWindow="760" windowWidth="30240" windowHeight="17440" xr2:uid="{00000000-000D-0000-FFFF-FFFF00000000}"/>
  </bookViews>
  <sheets>
    <sheet name="DownloadBtn"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8" l="1"/>
  <c r="D8" i="8"/>
  <c r="D7" i="8"/>
  <c r="D6" i="8"/>
  <c r="D5" i="8"/>
  <c r="D10" i="8" l="1"/>
  <c r="D11" i="8" s="1"/>
</calcChain>
</file>

<file path=xl/sharedStrings.xml><?xml version="1.0" encoding="utf-8"?>
<sst xmlns="http://schemas.openxmlformats.org/spreadsheetml/2006/main" count="374" uniqueCount="271">
  <si>
    <t>Composant : DownloadBtn</t>
  </si>
  <si>
    <t>Audit V1</t>
  </si>
  <si>
    <t>Correction post audit V1 - (voir - https://github.com/assurance-maladie-digital/design-system/issues/4007)</t>
  </si>
  <si>
    <t>Date</t>
  </si>
  <si>
    <t>14/04/2025</t>
  </si>
  <si>
    <t>Version</t>
  </si>
  <si>
    <t>0.0.11-alpha</t>
  </si>
  <si>
    <t>0.0.14-alpha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</si>
  <si>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</si>
  <si>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</si>
  <si>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</si>
  <si>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</si>
  <si>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</si>
  <si>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</si>
  <si>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</si>
  <si>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</si>
  <si>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</si>
  <si>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</si>
  <si>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</si>
  <si>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</si>
  <si>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Numéro de ticket</t>
  </si>
  <si>
    <t>IMAGES</t>
  </si>
  <si>
    <t>1.1</t>
  </si>
  <si>
    <t>Chaque image porteuse d’information a-t-elle une alternative textuelle ?</t>
  </si>
  <si>
    <t>Non applicable</t>
  </si>
  <si>
    <t>1.2</t>
  </si>
  <si>
    <t>Chaque image de décoration est-elle correctement ignorée par les technologies d’assistance ?</t>
  </si>
  <si>
    <t>Conforme</t>
  </si>
  <si>
    <t xml:space="preserve">Icône ignorée par les technologies d'assistance : présence de aria-hidden="true" sur svg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</si>
  <si>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</si>
  <si>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</si>
  <si>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</si>
  <si>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</si>
  <si>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</si>
  <si>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</si>
  <si>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</si>
  <si>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</si>
  <si>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</si>
  <si>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</si>
  <si>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</si>
  <si>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</si>
  <si>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</si>
  <si>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</si>
  <si>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</si>
  <si>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</si>
  <si>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</si>
  <si>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</si>
  <si>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</si>
  <si>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</si>
  <si>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</si>
  <si>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</si>
  <si>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</si>
  <si>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</si>
  <si>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Non conforme</t>
  </si>
  <si>
    <t>Theme clair :
Default :
- normal =&gt; fond blanc, texte bleu 16px =&gt;  9,38 (conforme)
- focus =&gt; fond blanc cassé, texte bleu 16px =&gt; 7,6  (conforme)
- hover =&gt; fond blanc cassé, texte bleu 16px =&gt;  8,8 (conforme)
Theme sombre :
- Default :
- normal =&gt; fond noir, texte bleu azur 16px =&gt;  5,2 (conforme)
- focus =&gt; fond bleu foncé, texte bleu azur 16px =&gt; 4,2 (non conforme =&gt; rapport de 4,5 minimum)
- hover =&gt; fond bleu foncé, texte bleu azur 16px =&gt; 4,9 (conforme)</t>
  </si>
  <si>
    <t>3.3</t>
  </si>
  <si>
    <t>Dans chaque page web, les couleurs utilisées dans les composants d’interface ou les éléments graphiques porteurs d’informations sont-elles suffisamment contrastées (hors cas particuliers) ?</t>
  </si>
  <si>
    <t>Theme clair :
Default :
- normal =&gt; fond blanc, bordure bleue =&gt; 9,4 (conforme)
- focus (2 bordures) :
    - entre fond et bordure =&gt; 1,5  (non conforme =&gt; rapport de 3 minimum)
    - entre 2 bordures =&gt; 5  (conforme)
- hover =&gt; fond blanc cassé, bordure bleue =&gt; 8,8 (conforme)
Theme sombre :
Default :
- normal =&gt; fond bleu foncé, bordure azur =&gt; 5,2 (conforme)
- focus (2 bordures) :
    - entre fond et bordure =&gt; 1,5 (non conforme =&gt; rapport de 3 minimum)
    - entre 2 bordures =&gt; 2,6 (non conforme =&gt; rapport de 3 minimum)
- hover =&gt; fond bleu foncé, bordure azur =&gt; 4,9 (conforme)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</si>
  <si>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</si>
  <si>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</si>
  <si>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</si>
  <si>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</si>
  <si>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</si>
  <si>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</si>
  <si>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</si>
  <si>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</si>
  <si>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</si>
  <si>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</si>
  <si>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</si>
  <si>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</si>
  <si>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</si>
  <si>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</si>
  <si>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</si>
  <si>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</si>
  <si>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</si>
  <si>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</si>
  <si>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</si>
  <si>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</si>
  <si>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</si>
  <si>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</si>
  <si>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</si>
  <si>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</si>
  <si>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</si>
  <si>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</si>
  <si>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</si>
  <si>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</si>
  <si>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</si>
  <si>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</si>
  <si>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</si>
  <si>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</si>
  <si>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</si>
  <si>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</si>
  <si>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</si>
  <si>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</si>
  <si>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</si>
  <si>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</si>
  <si>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</si>
  <si>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</si>
  <si>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</si>
  <si>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</si>
  <si>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</si>
  <si>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</si>
  <si>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</si>
  <si>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</si>
  <si>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</si>
  <si>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</si>
  <si>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</si>
  <si>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</si>
  <si>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</si>
  <si>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</si>
  <si>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Au lancement du bouton, une icône de chargement indique que le téléchargement est en cours. Cela suppose que le délai de latence peut être plus ou moins long, notamment en fonction de la connexion de l'utilisateur. À cet effet, il faut spécifier à l'utilisateur utilisateur d'un lecteur d'écran qu'une action est en cours. L'intérêt est que l'utilisateur comprenne que son action s'est bien déclenchée mais qu'il y a une latence (dont on ne connaît pas sa durée) avant de pouvoir obtenir le fichier à télécharger. Penser à ajouter une option sur le composant "loadingMessage" afin que le contributeur puisse personnaliser le texte restitué au lecteur d'écran (traduction et/ou précision à donner sur le fichier). Ce span doit être présent dans le DOM mais son contenu apparaître uniquement lorsque le bouton est dans l'état de chargement.
Exemple : &lt;span role="status"  class="sr-only"&gt;Chargement en cours...&lt;/div&gt;</t>
  </si>
  <si>
    <t>7.2</t>
  </si>
  <si>
    <t>Pour chaque script ayant une alternative, cette alternative est-elle pertinente ?</t>
  </si>
  <si>
    <t>7.3</t>
  </si>
  <si>
    <t>Chaque script est-il contrôlable par le clavier et par tout dispositif de pointage (hors cas particuliers) ?</t>
  </si>
  <si>
    <t>Test touche Tab + touche enter</t>
  </si>
  <si>
    <t>7.4</t>
  </si>
  <si>
    <t>Pour chaque script qui initie un changement de contexte, l’utilisateur est-il averti ou en a-t-il le contrôle ?</t>
  </si>
  <si>
    <t>7.5</t>
  </si>
  <si>
    <t>Dans chaque page web, les messages de statut sont-ils correctement restitués par les technologies d’assistance ?</t>
  </si>
  <si>
    <t xml:space="preserve"> </t>
  </si>
  <si>
    <t>ÉLÉMENTS OBLIGATOIRES</t>
  </si>
  <si>
    <t>8.1</t>
  </si>
  <si>
    <t>Chaque page web est-elle définie par un type de document ?</t>
  </si>
  <si>
    <t>8.2</t>
  </si>
  <si>
    <t>Pour chaque page web, le code source généré est-il valide selon le type de document spécifié (hors cas particuliers) ?</t>
  </si>
  <si>
    <t>Validié avec le validateur HTML W3C https://validator.w3.org/nu</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</si>
  <si>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</si>
  <si>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</si>
  <si>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</si>
  <si>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</si>
  <si>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</si>
  <si>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</si>
  <si>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</si>
  <si>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</si>
  <si>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</si>
  <si>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</si>
  <si>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</si>
  <si>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</si>
  <si>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</si>
  <si>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</si>
  <si>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</si>
  <si>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</si>
  <si>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</si>
  <si>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</si>
  <si>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</si>
  <si>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</si>
  <si>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</si>
  <si>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</si>
  <si>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</si>
  <si>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</si>
  <si>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</si>
  <si>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</si>
  <si>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</si>
  <si>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</si>
  <si>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 xml:space="preserve">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t>
  </si>
  <si>
    <t>10.2</t>
  </si>
  <si>
    <t>Dans chaque page web, le contenu visible porteur d’information reste-t-il présent lorsque les feuilles de styles sont désactivées ?</t>
  </si>
  <si>
    <t>Visibilité de l'icône, du texte et du bouton</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</si>
  <si>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</si>
  <si>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</si>
  <si>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</si>
  <si>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</si>
  <si>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</si>
  <si>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Testé avec un texte de 367 caractères (Sauf si mode loading)</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</si>
  <si>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</si>
  <si>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</si>
  <si>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</si>
  <si>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</si>
  <si>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</si>
  <si>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</si>
  <si>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Focus bouton ok : présence d'un focus-visible.</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</si>
  <si>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</si>
  <si>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</si>
  <si>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</si>
  <si>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</si>
  <si>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</si>
  <si>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</si>
  <si>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</si>
  <si>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</si>
  <si>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 texte de 317 caractères sur 256px et 320px =&gt;aucun troncage de texte
Testé avec un texte de 424 caractères sur 320px =&gt; le composant ne  le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</si>
  <si>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</si>
  <si>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</si>
  <si>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</si>
  <si>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</si>
  <si>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</si>
  <si>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</si>
  <si>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</si>
  <si>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</si>
  <si>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</si>
  <si>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</si>
  <si>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</si>
  <si>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</si>
  <si>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</si>
  <si>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</si>
  <si>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</si>
  <si>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</si>
  <si>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</si>
  <si>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</si>
  <si>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</si>
  <si>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</si>
  <si>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</si>
  <si>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</si>
  <si>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</si>
  <si>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</si>
  <si>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</si>
  <si>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</si>
  <si>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</si>
  <si>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</si>
  <si>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</si>
  <si>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</si>
  <si>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</si>
  <si>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</si>
  <si>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</si>
  <si>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</si>
  <si>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</si>
  <si>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</si>
  <si>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</si>
  <si>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</si>
  <si>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</si>
  <si>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</si>
  <si>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</si>
  <si>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</si>
  <si>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</si>
  <si>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</si>
  <si>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</si>
  <si>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</si>
  <si>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</si>
  <si>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</si>
  <si>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</si>
  <si>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</si>
  <si>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</si>
  <si>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</si>
  <si>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</si>
  <si>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Touche tab le focus se fait sur l'icone + touche entrée fait l'action sur le bouton</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</si>
  <si>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</si>
  <si>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</si>
  <si>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</si>
  <si>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</si>
  <si>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</si>
  <si>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</si>
  <si>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</si>
  <si>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</si>
  <si>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</si>
  <si>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</si>
  <si>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</si>
  <si>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</si>
  <si>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</si>
  <si>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</si>
  <si>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</si>
  <si>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</si>
  <si>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</si>
  <si>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</si>
  <si>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</si>
  <si>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</si>
  <si>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</si>
  <si>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</si>
  <si>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</si>
  <si>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</si>
  <si>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</si>
  <si>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</si>
  <si>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</si>
  <si>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</si>
  <si>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</si>
  <si>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</si>
  <si>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</si>
  <si>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 xml:space="preserve">Type button appliqué au composant. Pour declencher l'action du bouton on appuie sur la touche Enter ou Space garantissant  que les utilisateurs peuvent naviguer et interagir avec votre application en utilisant uniquement le clavier. </t>
  </si>
  <si>
    <t>- https://www.w3.org/WAI/ARIA/apg/patterns/button/
- https://vuetifyjs.com/en/components/buttons/#accessibility</t>
  </si>
  <si>
    <t>Lorsqu'on utilise un v-icon il est essentiel de fournir une alternative textuelle aux utilisateurs de lecteurs d'écran. Vous pouvez ajouter un aria-label  pour garantir que l'objectif du bouton est clair pour tous</t>
  </si>
  <si>
    <t>L'état de chargement doit figurer comme une notification afin que les utilisateurs de lecteurs d'écran puisse avoir l'information que le téléchargement est en cours</t>
  </si>
  <si>
    <t>https://www.accede-web.com/notices/interface-riche/message-de-notification/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</si>
</sst>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u/>
      <sz val="12"/>
      <color theme="1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sz val="12"/>
      <color rgb="FFFF0000"/>
      <name val="Aptos Narrow"/>
      <scheme val="minor"/>
    </font>
    <font>
      <b/>
      <sz val="14"/>
      <name val="Aptos Narrow"/>
      <scheme val="minor"/>
    </font>
    <font>
      <b/>
      <sz val="14"/>
      <color theme="1"/>
      <name val="Aptos Narrow"/>
      <scheme val="minor"/>
    </font>
  </fonts>
  <fills count="6">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40">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7" fillId="3" borderId="8" xfId="0" applyFont="1" applyFill="1" applyBorder="1"/>
    <xf numFmtId="0" fontId="9" fillId="0" borderId="0" xfId="0" applyFont="1" applyAlignment="1">
      <alignment horizontal="center" vertical="center" wrapText="1"/>
    </xf>
    <xf numFmtId="0" fontId="3" fillId="0" borderId="5" xfId="0" applyFont="1" applyBorder="1" applyAlignment="1">
      <alignment horizontal="left" vertical="top"/>
    </xf>
    <xf numFmtId="14" fontId="11" fillId="0" borderId="5" xfId="0" applyNumberFormat="1" applyFont="1" applyBorder="1"/>
    <xf numFmtId="0" fontId="11" fillId="0" borderId="5" xfId="0" applyFont="1" applyBorder="1"/>
    <xf numFmtId="0" fontId="12"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8" fillId="0" borderId="5" xfId="2" applyBorder="1" applyAlignment="1">
      <alignment horizontal="left" vertical="top"/>
    </xf>
    <xf numFmtId="0" fontId="8" fillId="0" borderId="5" xfId="2" quotePrefix="1" applyBorder="1" applyAlignment="1">
      <alignment horizontal="left" vertical="top" wrapText="1"/>
    </xf>
    <xf numFmtId="0" fontId="11" fillId="0" borderId="5" xfId="0" applyFont="1" applyBorder="1" applyAlignment="1">
      <alignment horizontal="right" vertical="top"/>
    </xf>
    <xf numFmtId="0" fontId="13" fillId="0" borderId="5" xfId="0" applyFont="1" applyBorder="1" applyAlignment="1">
      <alignment horizontal="left" vertical="top" wrapText="1"/>
    </xf>
    <xf numFmtId="9" fontId="15" fillId="0" borderId="5" xfId="1" applyFont="1" applyFill="1" applyBorder="1"/>
    <xf numFmtId="0" fontId="2" fillId="5" borderId="0" xfId="0" applyFont="1" applyFill="1" applyAlignment="1">
      <alignment horizontal="center" vertical="center"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4" fillId="0" borderId="6" xfId="0" applyFont="1" applyBorder="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3" fillId="0" borderId="5" xfId="0" applyFont="1" applyBorder="1" applyAlignment="1">
      <alignment horizontal="left" vertical="top" wrapText="1"/>
    </xf>
    <xf numFmtId="0" fontId="12" fillId="3" borderId="5" xfId="0" applyFont="1" applyFill="1" applyBorder="1" applyAlignment="1">
      <alignment horizontal="left"/>
    </xf>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9" fontId="3" fillId="0" borderId="0" xfId="0" applyNumberFormat="1" applyFont="1"/>
  </cellXfs>
  <cellStyles count="3">
    <cellStyle name="Lien hypertexte" xfId="2" builtinId="8"/>
    <cellStyle name="Normal" xfId="0" builtinId="0"/>
    <cellStyle name="Pourcentage" xfId="1" builtinId="5"/>
  </cellStyles>
  <dxfs count="4">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6"/>
  <sheetViews>
    <sheetView tabSelected="1" topLeftCell="C1" zoomScaleNormal="100" workbookViewId="0">
      <selection activeCell="E4" sqref="E4"/>
    </sheetView>
  </sheetViews>
  <sheetFormatPr defaultColWidth="10.875" defaultRowHeight="15.95"/>
  <cols>
    <col min="1" max="1" width="15" style="1" customWidth="1"/>
    <col min="2" max="2" width="10.375" style="1" bestFit="1" customWidth="1"/>
    <col min="3" max="3" width="59.875" style="1" customWidth="1"/>
    <col min="4" max="4" width="15.125" style="1" bestFit="1" customWidth="1"/>
    <col min="5" max="5" width="106.625" style="1" customWidth="1"/>
    <col min="6" max="6" width="17.875" style="1" bestFit="1" customWidth="1"/>
    <col min="7" max="16384" width="10.875" style="1"/>
  </cols>
  <sheetData>
    <row r="1" spans="1:6" ht="32.1" customHeight="1">
      <c r="A1" s="22" t="s">
        <v>0</v>
      </c>
      <c r="B1" s="22"/>
      <c r="C1" s="22"/>
      <c r="D1" s="22"/>
    </row>
    <row r="2" spans="1:6">
      <c r="A2" s="8"/>
      <c r="B2" s="8"/>
      <c r="C2" s="8"/>
      <c r="D2" s="1" t="s">
        <v>1</v>
      </c>
      <c r="E2" s="1" t="s">
        <v>2</v>
      </c>
    </row>
    <row r="3" spans="1:6" ht="18.95">
      <c r="A3" s="23" t="s">
        <v>3</v>
      </c>
      <c r="B3" s="23"/>
      <c r="C3" s="23"/>
      <c r="D3" s="10">
        <v>45730</v>
      </c>
      <c r="E3" s="1" t="s">
        <v>4</v>
      </c>
    </row>
    <row r="4" spans="1:6" ht="18.95">
      <c r="A4" s="24" t="s">
        <v>5</v>
      </c>
      <c r="B4" s="25"/>
      <c r="C4" s="26"/>
      <c r="D4" s="19" t="s">
        <v>6</v>
      </c>
      <c r="E4" s="1" t="s">
        <v>7</v>
      </c>
    </row>
    <row r="5" spans="1:6" ht="15.95" customHeight="1">
      <c r="A5" s="23" t="s">
        <v>8</v>
      </c>
      <c r="B5" s="23"/>
      <c r="C5" s="23"/>
      <c r="D5" s="11">
        <f xml:space="preserve"> COUNTIF($D$14:$D$119,"Conforme")</f>
        <v>11</v>
      </c>
      <c r="E5" s="1">
        <v>14</v>
      </c>
    </row>
    <row r="6" spans="1:6" ht="18.95" customHeight="1">
      <c r="A6" s="23" t="s">
        <v>9</v>
      </c>
      <c r="B6" s="23"/>
      <c r="C6" s="23"/>
      <c r="D6" s="11">
        <f xml:space="preserve"> COUNTIF($D$14:$D$119,"Non conforme")</f>
        <v>3</v>
      </c>
      <c r="E6" s="1">
        <v>0</v>
      </c>
    </row>
    <row r="7" spans="1:6" ht="18.95" customHeight="1">
      <c r="A7" s="23" t="s">
        <v>10</v>
      </c>
      <c r="B7" s="23"/>
      <c r="C7" s="23"/>
      <c r="D7" s="11">
        <f xml:space="preserve"> COUNTIF($D$14:$D$119,"Non applicable")</f>
        <v>92</v>
      </c>
      <c r="E7" s="1">
        <v>92</v>
      </c>
    </row>
    <row r="8" spans="1:6" ht="18.95" customHeight="1">
      <c r="A8" s="23" t="s">
        <v>11</v>
      </c>
      <c r="B8" s="23"/>
      <c r="C8" s="23"/>
      <c r="D8" s="11">
        <f xml:space="preserve"> COUNTIF($D$14:$D$119,"Dérogé")</f>
        <v>0</v>
      </c>
      <c r="E8" s="1">
        <v>0</v>
      </c>
    </row>
    <row r="9" spans="1:6" ht="18.95" customHeight="1">
      <c r="A9" s="23" t="s">
        <v>12</v>
      </c>
      <c r="B9" s="23"/>
      <c r="C9" s="23"/>
      <c r="D9" s="11">
        <f xml:space="preserve"> COUNTIF($D$14:$D$119,"Non testé")</f>
        <v>0</v>
      </c>
      <c r="E9" s="1">
        <v>0</v>
      </c>
    </row>
    <row r="10" spans="1:6" ht="18.95" customHeight="1">
      <c r="A10" s="30" t="s">
        <v>13</v>
      </c>
      <c r="B10" s="31"/>
      <c r="C10" s="32"/>
      <c r="D10" s="21">
        <f>IF(SUM(D5:D6)&gt;0,D5/SUM(D5:D6),"")</f>
        <v>0.7857142857142857</v>
      </c>
      <c r="E10" s="39">
        <v>1</v>
      </c>
    </row>
    <row r="11" spans="1:6" ht="18.95" customHeight="1">
      <c r="A11" s="30" t="s">
        <v>14</v>
      </c>
      <c r="B11" s="31"/>
      <c r="C11" s="32"/>
      <c r="D11" s="21">
        <f>IF(SUM(D5:D6)&gt;0,1-ROUND(D10,2),"")</f>
        <v>0.20999999999999996</v>
      </c>
      <c r="E11" s="39">
        <v>0</v>
      </c>
    </row>
    <row r="12" spans="1:6">
      <c r="A12" s="8"/>
      <c r="B12" s="8"/>
      <c r="C12" s="8"/>
    </row>
    <row r="13" spans="1:6" ht="18.95">
      <c r="A13" s="4" t="s">
        <v>15</v>
      </c>
      <c r="B13" s="4" t="s">
        <v>16</v>
      </c>
      <c r="C13" s="4" t="s">
        <v>17</v>
      </c>
      <c r="D13" s="4" t="s">
        <v>18</v>
      </c>
      <c r="E13" s="6" t="s">
        <v>19</v>
      </c>
      <c r="F13" s="7" t="s">
        <v>20</v>
      </c>
    </row>
    <row r="14" spans="1:6" ht="33.950000000000003">
      <c r="A14" s="33" t="s">
        <v>21</v>
      </c>
      <c r="B14" s="2" t="s">
        <v>22</v>
      </c>
      <c r="C14" s="3" t="s">
        <v>23</v>
      </c>
      <c r="D14" s="5" t="s">
        <v>24</v>
      </c>
      <c r="E14" s="13"/>
      <c r="F14" s="9"/>
    </row>
    <row r="15" spans="1:6" ht="33.950000000000003">
      <c r="A15" s="28"/>
      <c r="B15" s="2" t="s">
        <v>25</v>
      </c>
      <c r="C15" s="3" t="s">
        <v>26</v>
      </c>
      <c r="D15" s="5" t="s">
        <v>27</v>
      </c>
      <c r="E15" s="20" t="s">
        <v>28</v>
      </c>
      <c r="F15" s="9"/>
    </row>
    <row r="16" spans="1:6" ht="33.950000000000003">
      <c r="A16" s="28"/>
      <c r="B16" s="2" t="s">
        <v>29</v>
      </c>
      <c r="C16" s="3" t="s">
        <v>30</v>
      </c>
      <c r="D16" s="5" t="s">
        <v>24</v>
      </c>
      <c r="E16" s="13"/>
      <c r="F16" s="9"/>
    </row>
    <row r="17" spans="1:6" ht="51">
      <c r="A17" s="28"/>
      <c r="B17" s="2" t="s">
        <v>31</v>
      </c>
      <c r="C17" s="3" t="s">
        <v>32</v>
      </c>
      <c r="D17" s="5" t="s">
        <v>24</v>
      </c>
      <c r="E17" s="13"/>
      <c r="F17" s="9"/>
    </row>
    <row r="18" spans="1:6" ht="33.950000000000003">
      <c r="A18" s="28"/>
      <c r="B18" s="2" t="s">
        <v>33</v>
      </c>
      <c r="C18" s="3" t="s">
        <v>34</v>
      </c>
      <c r="D18" s="5" t="s">
        <v>24</v>
      </c>
      <c r="E18" s="13"/>
      <c r="F18" s="9"/>
    </row>
    <row r="19" spans="1:6" ht="33.950000000000003">
      <c r="A19" s="28"/>
      <c r="B19" s="2" t="s">
        <v>35</v>
      </c>
      <c r="C19" s="3" t="s">
        <v>36</v>
      </c>
      <c r="D19" s="5" t="s">
        <v>24</v>
      </c>
      <c r="E19" s="13"/>
      <c r="F19" s="9"/>
    </row>
    <row r="20" spans="1:6" ht="33.950000000000003">
      <c r="A20" s="28"/>
      <c r="B20" s="2" t="s">
        <v>37</v>
      </c>
      <c r="C20" s="3" t="s">
        <v>38</v>
      </c>
      <c r="D20" s="5" t="s">
        <v>24</v>
      </c>
      <c r="E20" s="13"/>
      <c r="F20" s="9"/>
    </row>
    <row r="21" spans="1:6" ht="51">
      <c r="A21" s="28"/>
      <c r="B21" s="2" t="s">
        <v>39</v>
      </c>
      <c r="C21" s="3" t="s">
        <v>40</v>
      </c>
      <c r="D21" s="5" t="s">
        <v>24</v>
      </c>
      <c r="E21" s="13"/>
      <c r="F21" s="9"/>
    </row>
    <row r="22" spans="1:6" ht="33.950000000000003">
      <c r="A22" s="29"/>
      <c r="B22" s="2" t="s">
        <v>41</v>
      </c>
      <c r="C22" s="3" t="s">
        <v>42</v>
      </c>
      <c r="D22" s="5" t="s">
        <v>24</v>
      </c>
      <c r="E22" s="13"/>
      <c r="F22" s="9"/>
    </row>
    <row r="23" spans="1:6" ht="18.95">
      <c r="A23" s="27" t="s">
        <v>43</v>
      </c>
      <c r="B23" s="2" t="s">
        <v>44</v>
      </c>
      <c r="C23" s="3" t="s">
        <v>45</v>
      </c>
      <c r="D23" s="5" t="s">
        <v>24</v>
      </c>
      <c r="E23" s="13"/>
      <c r="F23" s="9"/>
    </row>
    <row r="24" spans="1:6" ht="33.950000000000003">
      <c r="A24" s="29"/>
      <c r="B24" s="2" t="s">
        <v>46</v>
      </c>
      <c r="C24" s="3" t="s">
        <v>47</v>
      </c>
      <c r="D24" s="5" t="s">
        <v>24</v>
      </c>
      <c r="E24" s="13"/>
      <c r="F24" s="9"/>
    </row>
    <row r="25" spans="1:6" ht="33.950000000000003">
      <c r="A25" s="27" t="s">
        <v>48</v>
      </c>
      <c r="B25" s="2" t="s">
        <v>49</v>
      </c>
      <c r="C25" s="3" t="s">
        <v>50</v>
      </c>
      <c r="D25" s="5" t="s">
        <v>24</v>
      </c>
      <c r="E25" s="13"/>
      <c r="F25" s="9"/>
    </row>
    <row r="26" spans="1:6" ht="186.95">
      <c r="A26" s="28"/>
      <c r="B26" s="2" t="s">
        <v>51</v>
      </c>
      <c r="C26" s="3" t="s">
        <v>52</v>
      </c>
      <c r="D26" s="5" t="s">
        <v>53</v>
      </c>
      <c r="E26" s="13" t="s">
        <v>54</v>
      </c>
      <c r="F26" s="9"/>
    </row>
    <row r="27" spans="1:6" ht="255">
      <c r="A27" s="29"/>
      <c r="B27" s="2" t="s">
        <v>55</v>
      </c>
      <c r="C27" s="3" t="s">
        <v>56</v>
      </c>
      <c r="D27" s="5" t="s">
        <v>53</v>
      </c>
      <c r="E27" s="13" t="s">
        <v>57</v>
      </c>
      <c r="F27" s="9"/>
    </row>
    <row r="28" spans="1:6" ht="33.950000000000003">
      <c r="A28" s="27" t="s">
        <v>58</v>
      </c>
      <c r="B28" s="2" t="s">
        <v>59</v>
      </c>
      <c r="C28" s="3" t="s">
        <v>60</v>
      </c>
      <c r="D28" s="5" t="s">
        <v>24</v>
      </c>
      <c r="E28" s="13"/>
      <c r="F28" s="9"/>
    </row>
    <row r="29" spans="1:6" ht="51">
      <c r="A29" s="28"/>
      <c r="B29" s="2" t="s">
        <v>61</v>
      </c>
      <c r="C29" s="3" t="s">
        <v>62</v>
      </c>
      <c r="D29" s="5" t="s">
        <v>24</v>
      </c>
      <c r="E29" s="13"/>
      <c r="F29" s="9"/>
    </row>
    <row r="30" spans="1:6" ht="33.950000000000003">
      <c r="A30" s="28"/>
      <c r="B30" s="2" t="s">
        <v>63</v>
      </c>
      <c r="C30" s="3" t="s">
        <v>64</v>
      </c>
      <c r="D30" s="5" t="s">
        <v>24</v>
      </c>
      <c r="E30" s="13"/>
      <c r="F30" s="9"/>
    </row>
    <row r="31" spans="1:6" ht="33.950000000000003">
      <c r="A31" s="28"/>
      <c r="B31" s="2" t="s">
        <v>65</v>
      </c>
      <c r="C31" s="3" t="s">
        <v>66</v>
      </c>
      <c r="D31" s="5" t="s">
        <v>24</v>
      </c>
      <c r="E31" s="13"/>
      <c r="F31" s="9"/>
    </row>
    <row r="32" spans="1:6" ht="33.950000000000003">
      <c r="A32" s="28"/>
      <c r="B32" s="2" t="s">
        <v>67</v>
      </c>
      <c r="C32" s="3" t="s">
        <v>68</v>
      </c>
      <c r="D32" s="5" t="s">
        <v>24</v>
      </c>
      <c r="E32" s="13"/>
      <c r="F32" s="9"/>
    </row>
    <row r="33" spans="1:6" ht="33.950000000000003">
      <c r="A33" s="28"/>
      <c r="B33" s="2" t="s">
        <v>69</v>
      </c>
      <c r="C33" s="3" t="s">
        <v>70</v>
      </c>
      <c r="D33" s="5" t="s">
        <v>24</v>
      </c>
      <c r="E33" s="13"/>
      <c r="F33" s="9"/>
    </row>
    <row r="34" spans="1:6" ht="33.950000000000003">
      <c r="A34" s="28"/>
      <c r="B34" s="2" t="s">
        <v>71</v>
      </c>
      <c r="C34" s="3" t="s">
        <v>72</v>
      </c>
      <c r="D34" s="5" t="s">
        <v>24</v>
      </c>
      <c r="E34" s="13"/>
      <c r="F34" s="9"/>
    </row>
    <row r="35" spans="1:6" ht="33.950000000000003">
      <c r="A35" s="28"/>
      <c r="B35" s="2" t="s">
        <v>73</v>
      </c>
      <c r="C35" s="3" t="s">
        <v>74</v>
      </c>
      <c r="D35" s="5" t="s">
        <v>24</v>
      </c>
      <c r="E35" s="13"/>
      <c r="F35" s="9"/>
    </row>
    <row r="36" spans="1:6" ht="33.950000000000003">
      <c r="A36" s="28"/>
      <c r="B36" s="2" t="s">
        <v>75</v>
      </c>
      <c r="C36" s="3" t="s">
        <v>76</v>
      </c>
      <c r="D36" s="5" t="s">
        <v>24</v>
      </c>
      <c r="E36" s="13"/>
      <c r="F36" s="9"/>
    </row>
    <row r="37" spans="1:6" ht="33.950000000000003">
      <c r="A37" s="28"/>
      <c r="B37" s="2" t="s">
        <v>77</v>
      </c>
      <c r="C37" s="3" t="s">
        <v>78</v>
      </c>
      <c r="D37" s="5" t="s">
        <v>24</v>
      </c>
      <c r="E37" s="13"/>
      <c r="F37" s="9"/>
    </row>
    <row r="38" spans="1:6" ht="33.950000000000003">
      <c r="A38" s="28"/>
      <c r="B38" s="2" t="s">
        <v>79</v>
      </c>
      <c r="C38" s="3" t="s">
        <v>80</v>
      </c>
      <c r="D38" s="5" t="s">
        <v>24</v>
      </c>
      <c r="E38" s="13"/>
      <c r="F38" s="9"/>
    </row>
    <row r="39" spans="1:6" ht="33.950000000000003">
      <c r="A39" s="28"/>
      <c r="B39" s="2" t="s">
        <v>81</v>
      </c>
      <c r="C39" s="3" t="s">
        <v>82</v>
      </c>
      <c r="D39" s="5" t="s">
        <v>24</v>
      </c>
      <c r="E39" s="13"/>
      <c r="F39" s="9"/>
    </row>
    <row r="40" spans="1:6" ht="33.950000000000003">
      <c r="A40" s="29"/>
      <c r="B40" s="2" t="s">
        <v>83</v>
      </c>
      <c r="C40" s="3" t="s">
        <v>84</v>
      </c>
      <c r="D40" s="5" t="s">
        <v>24</v>
      </c>
      <c r="E40" s="13"/>
      <c r="F40" s="9"/>
    </row>
    <row r="41" spans="1:6" ht="18.95">
      <c r="A41" s="27" t="s">
        <v>85</v>
      </c>
      <c r="B41" s="2" t="s">
        <v>86</v>
      </c>
      <c r="C41" s="3" t="s">
        <v>87</v>
      </c>
      <c r="D41" s="5" t="s">
        <v>24</v>
      </c>
      <c r="E41" s="13"/>
      <c r="F41" s="9"/>
    </row>
    <row r="42" spans="1:6" ht="33.950000000000003">
      <c r="A42" s="28"/>
      <c r="B42" s="2" t="s">
        <v>88</v>
      </c>
      <c r="C42" s="3" t="s">
        <v>89</v>
      </c>
      <c r="D42" s="5" t="s">
        <v>24</v>
      </c>
      <c r="E42" s="13"/>
      <c r="F42" s="9"/>
    </row>
    <row r="43" spans="1:6" ht="33.950000000000003">
      <c r="A43" s="28"/>
      <c r="B43" s="2" t="s">
        <v>90</v>
      </c>
      <c r="C43" s="3" t="s">
        <v>91</v>
      </c>
      <c r="D43" s="5" t="s">
        <v>24</v>
      </c>
      <c r="E43" s="13"/>
      <c r="F43" s="9"/>
    </row>
    <row r="44" spans="1:6" ht="33.950000000000003">
      <c r="A44" s="28"/>
      <c r="B44" s="2" t="s">
        <v>92</v>
      </c>
      <c r="C44" s="3" t="s">
        <v>93</v>
      </c>
      <c r="D44" s="5" t="s">
        <v>24</v>
      </c>
      <c r="E44" s="13"/>
      <c r="F44" s="9"/>
    </row>
    <row r="45" spans="1:6" ht="33.950000000000003">
      <c r="A45" s="28"/>
      <c r="B45" s="2" t="s">
        <v>94</v>
      </c>
      <c r="C45" s="3" t="s">
        <v>95</v>
      </c>
      <c r="D45" s="5" t="s">
        <v>24</v>
      </c>
      <c r="E45" s="13"/>
      <c r="F45" s="9"/>
    </row>
    <row r="46" spans="1:6" ht="33.950000000000003">
      <c r="A46" s="28"/>
      <c r="B46" s="2" t="s">
        <v>96</v>
      </c>
      <c r="C46" s="3" t="s">
        <v>97</v>
      </c>
      <c r="D46" s="5" t="s">
        <v>24</v>
      </c>
      <c r="E46" s="13"/>
      <c r="F46" s="9"/>
    </row>
    <row r="47" spans="1:6" ht="51">
      <c r="A47" s="28"/>
      <c r="B47" s="2" t="s">
        <v>98</v>
      </c>
      <c r="C47" s="3" t="s">
        <v>99</v>
      </c>
      <c r="D47" s="5" t="s">
        <v>24</v>
      </c>
      <c r="E47" s="13"/>
      <c r="F47" s="9"/>
    </row>
    <row r="48" spans="1:6" ht="33.950000000000003">
      <c r="A48" s="29"/>
      <c r="B48" s="2" t="s">
        <v>100</v>
      </c>
      <c r="C48" s="3" t="s">
        <v>101</v>
      </c>
      <c r="D48" s="5" t="s">
        <v>24</v>
      </c>
      <c r="E48" s="13"/>
      <c r="F48" s="9"/>
    </row>
    <row r="49" spans="1:6" ht="18.95">
      <c r="A49" s="27" t="s">
        <v>102</v>
      </c>
      <c r="B49" s="2" t="s">
        <v>103</v>
      </c>
      <c r="C49" s="3" t="s">
        <v>104</v>
      </c>
      <c r="D49" s="5" t="s">
        <v>24</v>
      </c>
      <c r="E49" s="13"/>
      <c r="F49" s="9"/>
    </row>
    <row r="50" spans="1:6" ht="18.95">
      <c r="A50" s="29"/>
      <c r="B50" s="2" t="s">
        <v>105</v>
      </c>
      <c r="C50" s="3" t="s">
        <v>106</v>
      </c>
      <c r="D50" s="5" t="s">
        <v>24</v>
      </c>
      <c r="E50" s="13"/>
      <c r="F50" s="9"/>
    </row>
    <row r="51" spans="1:6" ht="153">
      <c r="A51" s="27" t="s">
        <v>107</v>
      </c>
      <c r="B51" s="2" t="s">
        <v>108</v>
      </c>
      <c r="C51" s="3" t="s">
        <v>109</v>
      </c>
      <c r="D51" s="5" t="s">
        <v>53</v>
      </c>
      <c r="E51" s="13" t="s">
        <v>110</v>
      </c>
      <c r="F51" s="9"/>
    </row>
    <row r="52" spans="1:6" ht="33.950000000000003">
      <c r="A52" s="28"/>
      <c r="B52" s="2" t="s">
        <v>111</v>
      </c>
      <c r="C52" s="3" t="s">
        <v>112</v>
      </c>
      <c r="D52" s="5" t="s">
        <v>24</v>
      </c>
      <c r="E52" s="13"/>
      <c r="F52" s="9"/>
    </row>
    <row r="53" spans="1:6" ht="33.950000000000003">
      <c r="A53" s="28"/>
      <c r="B53" s="2" t="s">
        <v>113</v>
      </c>
      <c r="C53" s="3" t="s">
        <v>114</v>
      </c>
      <c r="D53" s="5" t="s">
        <v>27</v>
      </c>
      <c r="E53" s="13" t="s">
        <v>115</v>
      </c>
      <c r="F53" s="9"/>
    </row>
    <row r="54" spans="1:6" ht="33.950000000000003">
      <c r="A54" s="28"/>
      <c r="B54" s="2" t="s">
        <v>116</v>
      </c>
      <c r="C54" s="3" t="s">
        <v>117</v>
      </c>
      <c r="D54" s="5" t="s">
        <v>24</v>
      </c>
      <c r="E54" s="13"/>
      <c r="F54" s="9"/>
    </row>
    <row r="55" spans="1:6" ht="33.950000000000003">
      <c r="A55" s="29"/>
      <c r="B55" s="2" t="s">
        <v>118</v>
      </c>
      <c r="C55" s="3" t="s">
        <v>119</v>
      </c>
      <c r="D55" s="5" t="s">
        <v>24</v>
      </c>
      <c r="E55" s="13" t="s">
        <v>120</v>
      </c>
      <c r="F55" s="9"/>
    </row>
    <row r="56" spans="1:6" ht="18.95">
      <c r="A56" s="27" t="s">
        <v>121</v>
      </c>
      <c r="B56" s="2" t="s">
        <v>122</v>
      </c>
      <c r="C56" s="3" t="s">
        <v>123</v>
      </c>
      <c r="D56" s="5" t="s">
        <v>24</v>
      </c>
      <c r="E56" s="13"/>
      <c r="F56" s="9"/>
    </row>
    <row r="57" spans="1:6" ht="33.950000000000003">
      <c r="A57" s="28"/>
      <c r="B57" s="2" t="s">
        <v>124</v>
      </c>
      <c r="C57" s="3" t="s">
        <v>125</v>
      </c>
      <c r="D57" s="5" t="s">
        <v>27</v>
      </c>
      <c r="E57" s="13" t="s">
        <v>126</v>
      </c>
      <c r="F57" s="9"/>
    </row>
    <row r="58" spans="1:6" ht="18.95">
      <c r="A58" s="28"/>
      <c r="B58" s="2" t="s">
        <v>127</v>
      </c>
      <c r="C58" s="3" t="s">
        <v>128</v>
      </c>
      <c r="D58" s="5" t="s">
        <v>24</v>
      </c>
      <c r="E58" s="13"/>
      <c r="F58" s="9"/>
    </row>
    <row r="59" spans="1:6" ht="33.950000000000003">
      <c r="A59" s="28"/>
      <c r="B59" s="2" t="s">
        <v>129</v>
      </c>
      <c r="C59" s="3" t="s">
        <v>130</v>
      </c>
      <c r="D59" s="5" t="s">
        <v>24</v>
      </c>
      <c r="E59" s="13"/>
      <c r="F59" s="9"/>
    </row>
    <row r="60" spans="1:6" ht="18.95">
      <c r="A60" s="28"/>
      <c r="B60" s="2" t="s">
        <v>131</v>
      </c>
      <c r="C60" s="3" t="s">
        <v>132</v>
      </c>
      <c r="D60" s="5" t="s">
        <v>24</v>
      </c>
      <c r="E60" s="13"/>
      <c r="F60" s="9"/>
    </row>
    <row r="61" spans="1:6" ht="18.95">
      <c r="A61" s="28"/>
      <c r="B61" s="2" t="s">
        <v>133</v>
      </c>
      <c r="C61" s="3" t="s">
        <v>134</v>
      </c>
      <c r="D61" s="5" t="s">
        <v>24</v>
      </c>
      <c r="E61" s="13"/>
      <c r="F61" s="9"/>
    </row>
    <row r="62" spans="1:6" ht="33.950000000000003">
      <c r="A62" s="28"/>
      <c r="B62" s="2" t="s">
        <v>135</v>
      </c>
      <c r="C62" s="3" t="s">
        <v>136</v>
      </c>
      <c r="D62" s="5" t="s">
        <v>24</v>
      </c>
      <c r="E62" s="13"/>
      <c r="F62" s="9"/>
    </row>
    <row r="63" spans="1:6" ht="33.950000000000003">
      <c r="A63" s="28"/>
      <c r="B63" s="2" t="s">
        <v>137</v>
      </c>
      <c r="C63" s="3" t="s">
        <v>138</v>
      </c>
      <c r="D63" s="5" t="s">
        <v>24</v>
      </c>
      <c r="E63" s="13"/>
      <c r="F63" s="9"/>
    </row>
    <row r="64" spans="1:6" ht="33.950000000000003">
      <c r="A64" s="28"/>
      <c r="B64" s="2" t="s">
        <v>139</v>
      </c>
      <c r="C64" s="3" t="s">
        <v>140</v>
      </c>
      <c r="D64" s="5" t="s">
        <v>24</v>
      </c>
      <c r="E64" s="13"/>
      <c r="F64" s="9"/>
    </row>
    <row r="65" spans="1:6" ht="33.950000000000003">
      <c r="A65" s="29"/>
      <c r="B65" s="2" t="s">
        <v>141</v>
      </c>
      <c r="C65" s="3" t="s">
        <v>142</v>
      </c>
      <c r="D65" s="5" t="s">
        <v>24</v>
      </c>
      <c r="E65" s="13"/>
      <c r="F65" s="9"/>
    </row>
    <row r="66" spans="1:6" ht="33.950000000000003">
      <c r="A66" s="27" t="s">
        <v>143</v>
      </c>
      <c r="B66" s="2" t="s">
        <v>144</v>
      </c>
      <c r="C66" s="3" t="s">
        <v>145</v>
      </c>
      <c r="D66" s="5" t="s">
        <v>24</v>
      </c>
      <c r="E66" s="13"/>
      <c r="F66" s="9"/>
    </row>
    <row r="67" spans="1:6" ht="33.950000000000003">
      <c r="A67" s="28"/>
      <c r="B67" s="2" t="s">
        <v>146</v>
      </c>
      <c r="C67" s="3" t="s">
        <v>147</v>
      </c>
      <c r="D67" s="5" t="s">
        <v>24</v>
      </c>
      <c r="E67" s="13"/>
      <c r="F67" s="9"/>
    </row>
    <row r="68" spans="1:6" ht="18.95">
      <c r="A68" s="28"/>
      <c r="B68" s="2" t="s">
        <v>148</v>
      </c>
      <c r="C68" s="3" t="s">
        <v>149</v>
      </c>
      <c r="D68" s="5" t="s">
        <v>24</v>
      </c>
      <c r="E68" s="13"/>
      <c r="F68" s="9"/>
    </row>
    <row r="69" spans="1:6" ht="33.950000000000003">
      <c r="A69" s="29"/>
      <c r="B69" s="2" t="s">
        <v>150</v>
      </c>
      <c r="C69" s="3" t="s">
        <v>151</v>
      </c>
      <c r="D69" s="5" t="s">
        <v>24</v>
      </c>
      <c r="E69" s="13"/>
      <c r="F69" s="9"/>
    </row>
    <row r="70" spans="1:6" ht="68.099999999999994">
      <c r="A70" s="27" t="s">
        <v>152</v>
      </c>
      <c r="B70" s="2" t="s">
        <v>153</v>
      </c>
      <c r="C70" s="3" t="s">
        <v>154</v>
      </c>
      <c r="D70" s="5" t="s">
        <v>27</v>
      </c>
      <c r="E70" s="13" t="s">
        <v>155</v>
      </c>
      <c r="F70" s="9"/>
    </row>
    <row r="71" spans="1:6" ht="33.950000000000003">
      <c r="A71" s="28"/>
      <c r="B71" s="2" t="s">
        <v>156</v>
      </c>
      <c r="C71" s="3" t="s">
        <v>157</v>
      </c>
      <c r="D71" s="5" t="s">
        <v>27</v>
      </c>
      <c r="E71" s="13" t="s">
        <v>158</v>
      </c>
      <c r="F71" s="9"/>
    </row>
    <row r="72" spans="1:6" ht="33.950000000000003">
      <c r="A72" s="28"/>
      <c r="B72" s="2" t="s">
        <v>159</v>
      </c>
      <c r="C72" s="3" t="s">
        <v>160</v>
      </c>
      <c r="D72" s="5" t="s">
        <v>27</v>
      </c>
      <c r="E72" s="13" t="s">
        <v>161</v>
      </c>
      <c r="F72" s="9"/>
    </row>
    <row r="73" spans="1:6" ht="51">
      <c r="A73" s="28"/>
      <c r="B73" s="2" t="s">
        <v>162</v>
      </c>
      <c r="C73" s="3" t="s">
        <v>163</v>
      </c>
      <c r="D73" s="5" t="s">
        <v>27</v>
      </c>
      <c r="E73" s="13" t="s">
        <v>164</v>
      </c>
      <c r="F73" s="9"/>
    </row>
    <row r="74" spans="1:6" ht="33.950000000000003">
      <c r="A74" s="28"/>
      <c r="B74" s="2" t="s">
        <v>165</v>
      </c>
      <c r="C74" s="3" t="s">
        <v>166</v>
      </c>
      <c r="D74" s="5" t="s">
        <v>24</v>
      </c>
      <c r="E74" s="13"/>
      <c r="F74" s="9"/>
    </row>
    <row r="75" spans="1:6" ht="33.950000000000003">
      <c r="A75" s="28"/>
      <c r="B75" s="2" t="s">
        <v>167</v>
      </c>
      <c r="C75" s="3" t="s">
        <v>168</v>
      </c>
      <c r="D75" s="5" t="s">
        <v>24</v>
      </c>
      <c r="E75" s="13"/>
      <c r="F75" s="9"/>
    </row>
    <row r="76" spans="1:6" ht="33.950000000000003">
      <c r="A76" s="28"/>
      <c r="B76" s="2" t="s">
        <v>169</v>
      </c>
      <c r="C76" s="3" t="s">
        <v>170</v>
      </c>
      <c r="D76" s="5" t="s">
        <v>27</v>
      </c>
      <c r="E76" s="13" t="s">
        <v>171</v>
      </c>
      <c r="F76" s="9"/>
    </row>
    <row r="77" spans="1:6" ht="33.950000000000003">
      <c r="A77" s="28"/>
      <c r="B77" s="2" t="s">
        <v>172</v>
      </c>
      <c r="C77" s="3" t="s">
        <v>173</v>
      </c>
      <c r="D77" s="5" t="s">
        <v>24</v>
      </c>
      <c r="E77" s="13"/>
      <c r="F77" s="9"/>
    </row>
    <row r="78" spans="1:6" ht="51">
      <c r="A78" s="28"/>
      <c r="B78" s="2" t="s">
        <v>174</v>
      </c>
      <c r="C78" s="3" t="s">
        <v>175</v>
      </c>
      <c r="D78" s="5" t="s">
        <v>24</v>
      </c>
      <c r="E78" s="13"/>
      <c r="F78" s="9"/>
    </row>
    <row r="79" spans="1:6" ht="51">
      <c r="A79" s="28"/>
      <c r="B79" s="2" t="s">
        <v>176</v>
      </c>
      <c r="C79" s="3" t="s">
        <v>177</v>
      </c>
      <c r="D79" s="5" t="s">
        <v>24</v>
      </c>
      <c r="E79" s="13"/>
      <c r="F79" s="9"/>
    </row>
    <row r="80" spans="1:6" ht="84.95">
      <c r="A80" s="28"/>
      <c r="B80" s="2" t="s">
        <v>178</v>
      </c>
      <c r="C80" s="3" t="s">
        <v>179</v>
      </c>
      <c r="D80" s="5" t="s">
        <v>27</v>
      </c>
      <c r="E80" s="13" t="s">
        <v>180</v>
      </c>
      <c r="F80" s="9"/>
    </row>
    <row r="81" spans="1:6" ht="119.1">
      <c r="A81" s="28"/>
      <c r="B81" s="2" t="s">
        <v>181</v>
      </c>
      <c r="C81" s="3" t="s">
        <v>182</v>
      </c>
      <c r="D81" s="5" t="s">
        <v>27</v>
      </c>
      <c r="E81" s="13" t="s">
        <v>183</v>
      </c>
      <c r="F81" s="9"/>
    </row>
    <row r="82" spans="1:6" ht="51">
      <c r="A82" s="28"/>
      <c r="B82" s="2" t="s">
        <v>184</v>
      </c>
      <c r="C82" s="3" t="s">
        <v>185</v>
      </c>
      <c r="D82" s="5" t="s">
        <v>24</v>
      </c>
      <c r="E82" s="13"/>
      <c r="F82" s="9"/>
    </row>
    <row r="83" spans="1:6" ht="51">
      <c r="A83" s="29"/>
      <c r="B83" s="2" t="s">
        <v>186</v>
      </c>
      <c r="C83" s="3" t="s">
        <v>187</v>
      </c>
      <c r="D83" s="5" t="s">
        <v>24</v>
      </c>
      <c r="E83" s="13"/>
      <c r="F83" s="9"/>
    </row>
    <row r="84" spans="1:6" ht="18.95">
      <c r="A84" s="27" t="s">
        <v>188</v>
      </c>
      <c r="B84" s="2" t="s">
        <v>189</v>
      </c>
      <c r="C84" s="3" t="s">
        <v>190</v>
      </c>
      <c r="D84" s="5" t="s">
        <v>24</v>
      </c>
      <c r="E84" s="13"/>
      <c r="F84" s="9"/>
    </row>
    <row r="85" spans="1:6" ht="33.950000000000003">
      <c r="A85" s="28"/>
      <c r="B85" s="2" t="s">
        <v>191</v>
      </c>
      <c r="C85" s="3" t="s">
        <v>192</v>
      </c>
      <c r="D85" s="5" t="s">
        <v>24</v>
      </c>
      <c r="E85" s="13"/>
      <c r="F85" s="9"/>
    </row>
    <row r="86" spans="1:6" ht="51">
      <c r="A86" s="28"/>
      <c r="B86" s="2" t="s">
        <v>193</v>
      </c>
      <c r="C86" s="3" t="s">
        <v>194</v>
      </c>
      <c r="D86" s="5" t="s">
        <v>24</v>
      </c>
      <c r="E86" s="13"/>
      <c r="F86" s="9"/>
    </row>
    <row r="87" spans="1:6" ht="33.950000000000003">
      <c r="A87" s="28"/>
      <c r="B87" s="2" t="s">
        <v>195</v>
      </c>
      <c r="C87" s="3" t="s">
        <v>196</v>
      </c>
      <c r="D87" s="5" t="s">
        <v>24</v>
      </c>
      <c r="E87" s="13"/>
      <c r="F87" s="9"/>
    </row>
    <row r="88" spans="1:6" ht="33.950000000000003">
      <c r="A88" s="28"/>
      <c r="B88" s="2" t="s">
        <v>197</v>
      </c>
      <c r="C88" s="3" t="s">
        <v>198</v>
      </c>
      <c r="D88" s="5" t="s">
        <v>24</v>
      </c>
      <c r="E88" s="13"/>
      <c r="F88" s="9"/>
    </row>
    <row r="89" spans="1:6" ht="33.950000000000003">
      <c r="A89" s="28"/>
      <c r="B89" s="2" t="s">
        <v>199</v>
      </c>
      <c r="C89" s="3" t="s">
        <v>200</v>
      </c>
      <c r="D89" s="5" t="s">
        <v>24</v>
      </c>
      <c r="E89" s="13"/>
      <c r="F89" s="9"/>
    </row>
    <row r="90" spans="1:6" ht="33.950000000000003">
      <c r="A90" s="28"/>
      <c r="B90" s="2" t="s">
        <v>201</v>
      </c>
      <c r="C90" s="3" t="s">
        <v>202</v>
      </c>
      <c r="D90" s="5" t="s">
        <v>24</v>
      </c>
      <c r="E90" s="13"/>
      <c r="F90" s="9"/>
    </row>
    <row r="91" spans="1:6" ht="33.950000000000003">
      <c r="A91" s="28"/>
      <c r="B91" s="2" t="s">
        <v>203</v>
      </c>
      <c r="C91" s="3" t="s">
        <v>204</v>
      </c>
      <c r="D91" s="5" t="s">
        <v>24</v>
      </c>
      <c r="E91" s="13"/>
      <c r="F91" s="9"/>
    </row>
    <row r="92" spans="1:6" ht="33.950000000000003">
      <c r="A92" s="28"/>
      <c r="B92" s="2" t="s">
        <v>205</v>
      </c>
      <c r="C92" s="3" t="s">
        <v>206</v>
      </c>
      <c r="D92" s="5" t="s">
        <v>24</v>
      </c>
      <c r="E92" s="13"/>
      <c r="F92" s="9"/>
    </row>
    <row r="93" spans="1:6" ht="33.950000000000003">
      <c r="A93" s="28"/>
      <c r="B93" s="2" t="s">
        <v>207</v>
      </c>
      <c r="C93" s="3" t="s">
        <v>208</v>
      </c>
      <c r="D93" s="5" t="s">
        <v>24</v>
      </c>
      <c r="E93" s="13"/>
      <c r="F93" s="9"/>
    </row>
    <row r="94" spans="1:6" ht="51">
      <c r="A94" s="28"/>
      <c r="B94" s="2" t="s">
        <v>209</v>
      </c>
      <c r="C94" s="3" t="s">
        <v>210</v>
      </c>
      <c r="D94" s="5" t="s">
        <v>24</v>
      </c>
      <c r="E94" s="13"/>
      <c r="F94" s="9"/>
    </row>
    <row r="95" spans="1:6" ht="84.95">
      <c r="A95" s="28"/>
      <c r="B95" s="2" t="s">
        <v>211</v>
      </c>
      <c r="C95" s="3" t="s">
        <v>212</v>
      </c>
      <c r="D95" s="5" t="s">
        <v>24</v>
      </c>
      <c r="E95" s="13"/>
      <c r="F95" s="9"/>
    </row>
    <row r="96" spans="1:6" ht="51">
      <c r="A96" s="29"/>
      <c r="B96" s="2" t="s">
        <v>213</v>
      </c>
      <c r="C96" s="3" t="s">
        <v>214</v>
      </c>
      <c r="D96" s="5" t="s">
        <v>24</v>
      </c>
      <c r="E96" s="13"/>
      <c r="F96" s="9"/>
    </row>
    <row r="97" spans="1:6" ht="33.950000000000003">
      <c r="A97" s="27" t="s">
        <v>215</v>
      </c>
      <c r="B97" s="2" t="s">
        <v>216</v>
      </c>
      <c r="C97" s="3" t="s">
        <v>217</v>
      </c>
      <c r="D97" s="5" t="s">
        <v>24</v>
      </c>
      <c r="E97" s="13"/>
      <c r="F97" s="9"/>
    </row>
    <row r="98" spans="1:6" ht="33.950000000000003">
      <c r="A98" s="28"/>
      <c r="B98" s="2" t="s">
        <v>218</v>
      </c>
      <c r="C98" s="3" t="s">
        <v>219</v>
      </c>
      <c r="D98" s="5" t="s">
        <v>24</v>
      </c>
      <c r="E98" s="13"/>
      <c r="F98" s="9"/>
    </row>
    <row r="99" spans="1:6" ht="18.95">
      <c r="A99" s="28"/>
      <c r="B99" s="2" t="s">
        <v>220</v>
      </c>
      <c r="C99" s="3" t="s">
        <v>221</v>
      </c>
      <c r="D99" s="5" t="s">
        <v>24</v>
      </c>
      <c r="E99" s="13"/>
      <c r="F99" s="9"/>
    </row>
    <row r="100" spans="1:6" ht="33.950000000000003">
      <c r="A100" s="28"/>
      <c r="B100" s="2" t="s">
        <v>222</v>
      </c>
      <c r="C100" s="3" t="s">
        <v>223</v>
      </c>
      <c r="D100" s="5" t="s">
        <v>24</v>
      </c>
      <c r="E100" s="13"/>
      <c r="F100" s="9"/>
    </row>
    <row r="101" spans="1:6" ht="33.950000000000003">
      <c r="A101" s="28"/>
      <c r="B101" s="2" t="s">
        <v>224</v>
      </c>
      <c r="C101" s="3" t="s">
        <v>225</v>
      </c>
      <c r="D101" s="5" t="s">
        <v>24</v>
      </c>
      <c r="E101" s="13"/>
      <c r="F101" s="9"/>
    </row>
    <row r="102" spans="1:6" ht="68.099999999999994">
      <c r="A102" s="28"/>
      <c r="B102" s="2" t="s">
        <v>226</v>
      </c>
      <c r="C102" s="3" t="s">
        <v>227</v>
      </c>
      <c r="D102" s="5" t="s">
        <v>24</v>
      </c>
      <c r="E102" s="13"/>
      <c r="F102" s="9"/>
    </row>
    <row r="103" spans="1:6" ht="33.950000000000003">
      <c r="A103" s="28"/>
      <c r="B103" s="2" t="s">
        <v>228</v>
      </c>
      <c r="C103" s="3" t="s">
        <v>229</v>
      </c>
      <c r="D103" s="5" t="s">
        <v>24</v>
      </c>
      <c r="E103" s="13"/>
      <c r="F103" s="9"/>
    </row>
    <row r="104" spans="1:6" ht="18.95">
      <c r="A104" s="28"/>
      <c r="B104" s="2" t="s">
        <v>230</v>
      </c>
      <c r="C104" s="3" t="s">
        <v>231</v>
      </c>
      <c r="D104" s="5" t="s">
        <v>24</v>
      </c>
      <c r="E104" s="13"/>
      <c r="F104" s="9"/>
    </row>
    <row r="105" spans="1:6" ht="33.950000000000003">
      <c r="A105" s="28"/>
      <c r="B105" s="2" t="s">
        <v>232</v>
      </c>
      <c r="C105" s="3" t="s">
        <v>233</v>
      </c>
      <c r="D105" s="5" t="s">
        <v>27</v>
      </c>
      <c r="E105" s="13" t="s">
        <v>234</v>
      </c>
      <c r="F105" s="9"/>
    </row>
    <row r="106" spans="1:6" ht="51">
      <c r="A106" s="28"/>
      <c r="B106" s="2" t="s">
        <v>235</v>
      </c>
      <c r="C106" s="3" t="s">
        <v>236</v>
      </c>
      <c r="D106" s="5" t="s">
        <v>24</v>
      </c>
      <c r="E106" s="13"/>
      <c r="F106" s="9"/>
    </row>
    <row r="107" spans="1:6" ht="51">
      <c r="A107" s="29"/>
      <c r="B107" s="2" t="s">
        <v>237</v>
      </c>
      <c r="C107" s="3" t="s">
        <v>238</v>
      </c>
      <c r="D107" s="5" t="s">
        <v>24</v>
      </c>
      <c r="E107" s="13"/>
      <c r="F107" s="9"/>
    </row>
    <row r="108" spans="1:6" ht="33.950000000000003">
      <c r="A108" s="27" t="s">
        <v>239</v>
      </c>
      <c r="B108" s="2" t="s">
        <v>240</v>
      </c>
      <c r="C108" s="3" t="s">
        <v>241</v>
      </c>
      <c r="D108" s="5" t="s">
        <v>24</v>
      </c>
      <c r="E108" s="13"/>
      <c r="F108" s="9"/>
    </row>
    <row r="109" spans="1:6" ht="51">
      <c r="A109" s="28"/>
      <c r="B109" s="2" t="s">
        <v>242</v>
      </c>
      <c r="C109" s="3" t="s">
        <v>243</v>
      </c>
      <c r="D109" s="5" t="s">
        <v>24</v>
      </c>
      <c r="E109" s="13"/>
      <c r="F109" s="9"/>
    </row>
    <row r="110" spans="1:6" ht="51">
      <c r="A110" s="28"/>
      <c r="B110" s="2" t="s">
        <v>244</v>
      </c>
      <c r="C110" s="3" t="s">
        <v>245</v>
      </c>
      <c r="D110" s="5" t="s">
        <v>24</v>
      </c>
      <c r="E110" s="13"/>
      <c r="F110" s="9"/>
    </row>
    <row r="111" spans="1:6" ht="33.950000000000003">
      <c r="A111" s="28"/>
      <c r="B111" s="2" t="s">
        <v>246</v>
      </c>
      <c r="C111" s="3" t="s">
        <v>247</v>
      </c>
      <c r="D111" s="5" t="s">
        <v>24</v>
      </c>
      <c r="E111" s="13"/>
      <c r="F111" s="9"/>
    </row>
    <row r="112" spans="1:6" ht="33.950000000000003">
      <c r="A112" s="28"/>
      <c r="B112" s="2" t="s">
        <v>248</v>
      </c>
      <c r="C112" s="3" t="s">
        <v>249</v>
      </c>
      <c r="D112" s="5" t="s">
        <v>24</v>
      </c>
      <c r="E112" s="13"/>
      <c r="F112" s="9"/>
    </row>
    <row r="113" spans="1:6" ht="51">
      <c r="A113" s="28"/>
      <c r="B113" s="2" t="s">
        <v>250</v>
      </c>
      <c r="C113" s="3" t="s">
        <v>251</v>
      </c>
      <c r="D113" s="5" t="s">
        <v>24</v>
      </c>
      <c r="E113" s="13"/>
      <c r="F113" s="9"/>
    </row>
    <row r="114" spans="1:6" ht="33.950000000000003">
      <c r="A114" s="28"/>
      <c r="B114" s="2" t="s">
        <v>252</v>
      </c>
      <c r="C114" s="3" t="s">
        <v>253</v>
      </c>
      <c r="D114" s="5" t="s">
        <v>24</v>
      </c>
      <c r="E114" s="13"/>
      <c r="F114" s="9"/>
    </row>
    <row r="115" spans="1:6" ht="33.950000000000003">
      <c r="A115" s="28"/>
      <c r="B115" s="2" t="s">
        <v>254</v>
      </c>
      <c r="C115" s="3" t="s">
        <v>255</v>
      </c>
      <c r="D115" s="5" t="s">
        <v>24</v>
      </c>
      <c r="E115" s="13"/>
      <c r="F115" s="9"/>
    </row>
    <row r="116" spans="1:6" ht="51">
      <c r="A116" s="28"/>
      <c r="B116" s="2" t="s">
        <v>256</v>
      </c>
      <c r="C116" s="3" t="s">
        <v>257</v>
      </c>
      <c r="D116" s="5" t="s">
        <v>24</v>
      </c>
      <c r="E116" s="13"/>
      <c r="F116" s="9"/>
    </row>
    <row r="117" spans="1:6" ht="51">
      <c r="A117" s="28"/>
      <c r="B117" s="2" t="s">
        <v>258</v>
      </c>
      <c r="C117" s="3" t="s">
        <v>259</v>
      </c>
      <c r="D117" s="5" t="s">
        <v>24</v>
      </c>
      <c r="E117" s="13"/>
      <c r="F117" s="9"/>
    </row>
    <row r="118" spans="1:6" ht="51">
      <c r="A118" s="28"/>
      <c r="B118" s="2" t="s">
        <v>260</v>
      </c>
      <c r="C118" s="3" t="s">
        <v>261</v>
      </c>
      <c r="D118" s="5" t="s">
        <v>24</v>
      </c>
      <c r="E118" s="13"/>
      <c r="F118" s="9"/>
    </row>
    <row r="119" spans="1:6" ht="51">
      <c r="A119" s="29"/>
      <c r="B119" s="2" t="s">
        <v>262</v>
      </c>
      <c r="C119" s="3" t="s">
        <v>263</v>
      </c>
      <c r="D119" s="5" t="s">
        <v>24</v>
      </c>
      <c r="E119" s="13"/>
      <c r="F119" s="9"/>
    </row>
    <row r="122" spans="1:6">
      <c r="A122" s="35" t="s">
        <v>264</v>
      </c>
      <c r="B122" s="35"/>
      <c r="C122" s="35"/>
      <c r="D122" s="35"/>
      <c r="E122" s="12" t="s">
        <v>265</v>
      </c>
    </row>
    <row r="123" spans="1:6" ht="33.950000000000003">
      <c r="A123" s="34" t="s">
        <v>266</v>
      </c>
      <c r="B123" s="34"/>
      <c r="C123" s="34"/>
      <c r="D123" s="34"/>
      <c r="E123" s="14" t="s">
        <v>267</v>
      </c>
    </row>
    <row r="124" spans="1:6" ht="33.950000000000003" customHeight="1">
      <c r="A124" s="36" t="s">
        <v>268</v>
      </c>
      <c r="B124" s="37"/>
      <c r="C124" s="37"/>
      <c r="D124" s="38"/>
      <c r="E124" s="17"/>
    </row>
    <row r="125" spans="1:6" ht="36" customHeight="1">
      <c r="A125" s="34" t="s">
        <v>269</v>
      </c>
      <c r="B125" s="34"/>
      <c r="C125" s="34"/>
      <c r="D125" s="34"/>
      <c r="E125" s="18" t="s">
        <v>270</v>
      </c>
    </row>
    <row r="126" spans="1:6" ht="30" customHeight="1">
      <c r="A126" s="15"/>
      <c r="B126" s="15"/>
      <c r="C126" s="15"/>
      <c r="D126" s="15"/>
      <c r="E126" s="16"/>
    </row>
  </sheetData>
  <mergeCells count="27">
    <mergeCell ref="A125:D125"/>
    <mergeCell ref="A49:A50"/>
    <mergeCell ref="A51:A55"/>
    <mergeCell ref="A56:A65"/>
    <mergeCell ref="A66:A69"/>
    <mergeCell ref="A70:A83"/>
    <mergeCell ref="A84:A96"/>
    <mergeCell ref="A97:A107"/>
    <mergeCell ref="A108:A119"/>
    <mergeCell ref="A122:D122"/>
    <mergeCell ref="A123:D123"/>
    <mergeCell ref="A124:D124"/>
    <mergeCell ref="A41:A48"/>
    <mergeCell ref="A8:C8"/>
    <mergeCell ref="A9:C9"/>
    <mergeCell ref="A10:C10"/>
    <mergeCell ref="A11:C11"/>
    <mergeCell ref="A14:A22"/>
    <mergeCell ref="A23:A24"/>
    <mergeCell ref="A25:A27"/>
    <mergeCell ref="A28:A40"/>
    <mergeCell ref="A1:D1"/>
    <mergeCell ref="A7:C7"/>
    <mergeCell ref="A3:C3"/>
    <mergeCell ref="A4:C4"/>
    <mergeCell ref="A5:C5"/>
    <mergeCell ref="A6:C6"/>
  </mergeCells>
  <conditionalFormatting sqref="D10:E119">
    <cfRule type="expression" dxfId="3" priority="4">
      <formula>$D10="Non conforme"</formula>
    </cfRule>
  </conditionalFormatting>
  <conditionalFormatting sqref="D14:E119">
    <cfRule type="expression" dxfId="2" priority="1">
      <formula>$D14="Non testé"</formula>
    </cfRule>
  </conditionalFormatting>
  <conditionalFormatting sqref="D14:E119">
    <cfRule type="expression" dxfId="1" priority="2">
      <formula>$D14="Dérogé"</formula>
    </cfRule>
  </conditionalFormatting>
  <conditionalFormatting sqref="D14:E119">
    <cfRule type="expression" dxfId="0" priority="3">
      <formula>$D14="Conforme"</formula>
    </cfRule>
  </conditionalFormatting>
  <dataValidations count="2">
    <dataValidation allowBlank="1" showInputMessage="1" showErrorMessage="1" prompt="Format JJ/MM/AAAA" sqref="D3" xr:uid="{00000000-0002-0000-0300-000000000000}"/>
    <dataValidation type="list" allowBlank="1" showInputMessage="1" showErrorMessage="1" sqref="D14:D119" xr:uid="{00000000-0002-0000-0300-000001000000}">
      <formula1>"Conforme,Non conforme,Non applicable,Dérogé,Non testé"</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2025-04-17T14:51:57Z</dcterms:modified>
  <cp:category/>
  <cp:contentStatus/>
</cp:coreProperties>
</file>
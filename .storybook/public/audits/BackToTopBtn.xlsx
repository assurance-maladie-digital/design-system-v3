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mc:AlternateContent xmlns:mc="http://schemas.openxmlformats.org/markup-compatibility/2006">
    <mc:Choice Requires="x15">
      <x15ac:absPath xmlns:x15ac="http://schemas.microsoft.com/office/spreadsheetml/2010/11/ac" url="https://people.ey.com/personal/julien_roche_fabernovel_ey_com/Documents/Documents/CNAM Audits/"/>
    </mc:Choice>
  </mc:AlternateContent>
  <xr:revisionPtr revIDLastSave="0" documentId="8_{BC7EB9DF-D016-4877-9B52-5D7C9E0B9E7D}" xr6:coauthVersionLast="47" xr6:coauthVersionMax="47" xr10:uidLastSave="{00000000-0000-0000-0000-000000000000}"/>
  <bookViews>
    <workbookView xWindow="0" yWindow="760" windowWidth="102400" windowHeight="17440" xr2:uid="{00000000-000D-0000-FFFF-FFFF00000000}"/>
  </bookViews>
  <sheets>
    <sheet name="BackToTopBtn" sheetId="1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11" l="1"/>
  <c r="D8" i="11"/>
  <c r="D7" i="11"/>
  <c r="D6" i="11"/>
  <c r="D5" i="11"/>
  <c r="D10" i="11" l="1"/>
  <c r="D11" i="11" s="1"/>
</calcChain>
</file>

<file path=xl/sharedStrings.xml><?xml version="1.0" encoding="utf-8"?>
<sst xmlns="http://schemas.openxmlformats.org/spreadsheetml/2006/main" count="373" uniqueCount="266">
  <si>
    <t>Composant : BackToTopBtn</t>
  </si>
  <si>
    <t>Audit V1</t>
  </si>
  <si>
    <t>Correction post audit V1 (voir - https://github.com/assurance-maladie-digital/design-system/issues/4022)</t>
  </si>
  <si>
    <t>Date</t>
  </si>
  <si>
    <t>Version</t>
  </si>
  <si>
    <t>0.0.11-alpha</t>
  </si>
  <si>
    <t>0,0,15-alpha</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</si>
  <si>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</si>
  <si>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</si>
  <si>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</si>
  <si>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</si>
  <si>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</si>
  <si>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</si>
  <si>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</si>
  <si>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</si>
  <si>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</si>
  <si>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</si>
  <si>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</si>
  <si>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</si>
  <si>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IMAGES</t>
  </si>
  <si>
    <t>1.1</t>
  </si>
  <si>
    <t>Chaque image porteuse d’information a-t-elle une alternative textuelle ?</t>
  </si>
  <si>
    <t>Non applicable</t>
  </si>
  <si>
    <t>1.2</t>
  </si>
  <si>
    <t>Chaque image de décoration est-elle correctement ignorée par les technologies d’assistance ?</t>
  </si>
  <si>
    <t>Non conforme</t>
  </si>
  <si>
    <t>L'icône de la flèche vers le haut possède bien le aria-hidden="true" mais il ne doit pas avoir le role="img" car il ne s'agit pas d'une image porteuse d'information</t>
  </si>
  <si>
    <t>corrigé dans la version 0.0.15-alpha</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</si>
  <si>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</si>
  <si>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</si>
  <si>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</si>
  <si>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</si>
  <si>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</si>
  <si>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</si>
  <si>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</si>
  <si>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</si>
  <si>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</si>
  <si>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</si>
  <si>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</si>
  <si>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</si>
  <si>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</si>
  <si>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</si>
  <si>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</si>
  <si>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</si>
  <si>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</si>
  <si>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</si>
  <si>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</si>
  <si>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</si>
  <si>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</si>
  <si>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</si>
  <si>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</si>
  <si>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</si>
  <si>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Thème clair + Outlined :
Texte 14px :
    - normal : texte bleu et fond blanc =&gt; 9,38 (conforme)
    - hover : texte bleu et fond gris =&gt; 8,8 (conforme)
    - focus : texte bleu et fond bleu ciel =&gt; 7,6 (conforme)
Thème clair + Primary :
Texte 14px :
    - normal : texte blanc et fond bleu =&gt; 9,38 (conforme)
    - hover : texte blanc et fond bleu =&gt; 7,7 (conforme)
    - focus : texte bleu et fond bleu =&gt; 5,1 (conforme)
Thème sombre :
Texte 14px :
    - normal : texte bleu azur et fond blanc =&gt; 3,12 (non conforme =&gt; ratio contraste minimum 4,5)
    - hover : texte bleu azur et fond gris =&gt; 3 (non conforme =&gt; ratio contraste minimum 4,5)
    - focus : texte bleu azur et fond bleu ciel =&gt; 2,6 (non conforme =&gt; ratio contraste minimum 4,5)
Thème sombre + Primary :
Texte 14px :
    - normal : texte blanc et fond bleu azur =&gt; 3,12 (non conforme =&gt; ratio contraste minimum 4,5)
    - hover : texte blanc et fond bleu azur =&gt; 2,9 (non conforme =&gt; ratio contraste minimum 4,5)
    - focus : texte blanc et fond bleu azur =&gt; 2,4 (non conforme =&gt; ratio contraste minimum 4,5)</t>
  </si>
  <si>
    <t>3.3</t>
  </si>
  <si>
    <t>Dans chaque page web, les couleurs utilisées dans les composants d’interface ou les éléments graphiques porteurs d’informations sont-elles suffisamment contrastées (hors cas particuliers) ?</t>
  </si>
  <si>
    <t>Thème clair + Outlined :
- Icône flèche ou Bordure avec fond du composant :
    - normal : (icône ou bordure) et fond blanc =&gt; 9,38 (conforme)
    - hover : (icône ou bordure) et fond gris =&gt; 8,8 (conforme)
    - focus : (icône ou bordure) et fond bleu ciel =&gt; 7,6 (conforme)
- Bordure avec fond de la page (normal/focus/hover) : bordure bleu azur et fond noir =&gt; 9,4 (conforme) 
- Focus entre 2 bordures (bleu ciel et bleu azur) =&gt; 5 ( conforme)
Thème clair + Primary :
- Icône flèche :
    - normal : (icône ou bordure) et fond bleu =&gt; 9,38 (conforme)
    - hover : (icône ou bordure) et fond bleu =&gt; 7,7 (conforme)
    - focus : (icône ou bordure) et fond bleu =&gt; 5,1 (conforme)
- Fond de la page avec composant :
   - normal : fond du composant bleu et fond de la page blanc =&gt; 9,38 (conforme)
    - hover : fond du composant bleu et fond de la page blanc =&gt; 7,7 (conforme)
    - focus : bordure du composant bleu ciel et fond de la page blanc =&gt; 2,1 (non conforme =&gt; ratio contraste minimum 3)
- Focus entre bordure bleu aciel et fond du composant bleu =&gt; 2,5 (non conforme =&gt; ratio contraste minimum 3)
Thème sombre + Outlined :
- Icône flèche ou Bordure avec fond du composant :
    - normal : (icône ou bordure) et fond blanc =&gt; 3,12 (conforme)
    - hover : (icône ou bordure) et fond gris =&gt; 3 (conforme)
    - focus : (icône ou bordure) et fond bleu ciel =&gt; 2,6 (non conforme =&gt; ratio contraste minimum 3)
- Bordure avec fond de la page (normal/focus/hover) : bordure bleu azur et fond noir =&gt; 5,2 (conforme) 
- Focus entre 2 bordures (bleu ciel et bleu azur) =&gt; 2 (non conforme =&gt; ratio contraste minimum 3)
Thème sombre + Primary :
- Icône flèche :
    - normal : (icône ou bordure) et fond bleu azur =&gt; 3,12 (conforme)
    - hover : (icône ou bordure) et fond bleu azur =&gt; 2,9 (non conforme =&gt; ratio contraste minimum 3)
    - focus : (icône ou bordure) et fond bleu azur =&gt; 2,4 (non conforme =&gt; ratio contraste minimum 3)
- Fond de la page avec composant :
   - normal : fond du composant bleu azur et fond de la page noir =&gt; 5,2 (conforme)
    - hover : fond du composant bleu azur et fond de la page noir =&gt; 5,6 (conforme)
    - focus : bordure du composant bleu ciel et fond de la page noir =&gt; 10,6 (conforme)
- Focus entre bordure bleu aciel et fond du composant bleu azur =&gt; 1,1 (non conforme =&gt; ratio contraste minimum 3)</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</si>
  <si>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</si>
  <si>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</si>
  <si>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</si>
  <si>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</si>
  <si>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</si>
  <si>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</si>
  <si>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</si>
  <si>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</si>
  <si>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</si>
  <si>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</si>
  <si>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</si>
  <si>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</si>
  <si>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</si>
  <si>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</si>
  <si>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</si>
  <si>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</si>
  <si>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</si>
  <si>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</si>
  <si>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</si>
  <si>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</si>
  <si>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</si>
  <si>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</si>
  <si>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</si>
  <si>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</si>
  <si>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</si>
  <si>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</si>
  <si>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</si>
  <si>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</si>
  <si>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</si>
  <si>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</si>
  <si>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</si>
  <si>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</si>
  <si>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</si>
  <si>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</si>
  <si>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</si>
  <si>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</si>
  <si>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</si>
  <si>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</si>
  <si>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</si>
  <si>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</si>
  <si>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</si>
  <si>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</si>
  <si>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</si>
  <si>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</si>
  <si>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</si>
  <si>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</si>
  <si>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</si>
  <si>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</si>
  <si>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</si>
  <si>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</si>
  <si>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</si>
  <si>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</si>
  <si>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Conforme</t>
  </si>
  <si>
    <t>Le bouton permet bien de rediriger vers le haut.
Utilisation d'un élément HTML button pour l'action de redirection vers le haut.
Le libellé du bouton "Retour vers le haut de la page" est indiqué et suffisamment explicite.</t>
  </si>
  <si>
    <t>7.2</t>
  </si>
  <si>
    <t>Pour chaque script ayant une alternative, cette alternative est-elle pertinente ?</t>
  </si>
  <si>
    <t>7.3</t>
  </si>
  <si>
    <t>Chaque script est-il contrôlable par le clavier et par tout dispositif de pointage (hors cas particuliers) ?</t>
  </si>
  <si>
    <t>Le bouton est accessible au clavier via touche TAB et actionnable via les touches ENTER et SPACE.</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</si>
  <si>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</si>
  <si>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</si>
  <si>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</si>
  <si>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</si>
  <si>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</si>
  <si>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</si>
  <si>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</si>
  <si>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</si>
  <si>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</si>
  <si>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Attribut "default" non compatible dans la balise button retrouvé uniquement au niveau de la documentation (n'a pas réussi à reproduire dans un environnement de test) : https://cnam-design-system.netlify.app/?path=/story/composants-boutons-backtotopbtn--default
Erreurs :
- Attribute default not allowed on element button at this point.
Ex : &lt;button default="Retour en haut"...</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</si>
  <si>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</si>
  <si>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</si>
  <si>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</si>
  <si>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</si>
  <si>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</si>
  <si>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</si>
  <si>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</si>
  <si>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</si>
  <si>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</si>
  <si>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</si>
  <si>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</si>
  <si>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</si>
  <si>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</si>
  <si>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</si>
  <si>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</si>
  <si>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</si>
  <si>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</si>
  <si>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</si>
  <si>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</si>
  <si>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</si>
  <si>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</si>
  <si>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</si>
  <si>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</si>
  <si>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</si>
  <si>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</si>
  <si>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</si>
  <si>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</si>
  <si>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</si>
  <si>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</si>
  <si>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10.2</t>
  </si>
  <si>
    <t>Dans chaque page web, le contenu visible porteur d’information reste-t-il présent lorsque les feuilles de styles sont désactivées ?</t>
  </si>
  <si>
    <t>Visibilité du bouton retour en haut ainsi que l'intitulé haut de la section</t>
  </si>
  <si>
    <t>10.3</t>
  </si>
  <si>
    <t>Dans chaque page web, l’information reste-t-elle compréhensible lorsque les feuilles de styles sont désactivées ?</t>
  </si>
  <si>
    <t>L'information reste compréhensible car chaque élément utilise un élément HTML approprié et l'ordre ne nuit pas à la compréhension du composant.</t>
  </si>
  <si>
    <t>10.4</t>
  </si>
  <si>
    <t>Dans chaque page web, le texte reste-t-il lisible lorsque la taille des caractères est augmentée jusqu’à 200%, au moins (hors cas particuliers) ?</t>
  </si>
  <si>
    <t>Aucun problème de lisibilité, que ce soit en zoom écran ou zoom texte à 200%. A noter que le bouton le texte "retour en haut disparait mais l'icone reste"</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</si>
  <si>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</si>
  <si>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</si>
  <si>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</si>
  <si>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</si>
  <si>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</si>
  <si>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</si>
  <si>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Un focus est appliqué sur le bouton (focus-visible). Celui est considéré comme non visible car son contraste est insuffisant (voir critère 3.3).</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</si>
  <si>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</si>
  <si>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</si>
  <si>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</si>
  <si>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</si>
  <si>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</si>
  <si>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</si>
  <si>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</si>
  <si>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</si>
  <si>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Testé avec un texte de 317 caractères sur 256px et 320px =&gt;aucun troncage de texte
Testé avec un texte de 424 caractères sur 320px =&gt; le composant ne  le défilement afin de permettre la visualisuation complète du contenu.</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</si>
  <si>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</si>
  <si>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</si>
  <si>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</si>
  <si>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</si>
  <si>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</si>
  <si>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</si>
  <si>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</si>
  <si>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</si>
  <si>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</si>
  <si>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</si>
  <si>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</si>
  <si>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</si>
  <si>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</si>
  <si>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</si>
  <si>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</si>
  <si>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</si>
  <si>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</si>
  <si>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</si>
  <si>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</si>
  <si>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</si>
  <si>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</si>
  <si>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</si>
  <si>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</si>
  <si>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</si>
  <si>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</si>
  <si>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</si>
  <si>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</si>
  <si>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</si>
  <si>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</si>
  <si>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</si>
  <si>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</si>
  <si>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</si>
  <si>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</si>
  <si>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</si>
  <si>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</si>
  <si>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</si>
  <si>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</si>
  <si>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</si>
  <si>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</si>
  <si>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</si>
  <si>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</si>
  <si>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</si>
  <si>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</si>
  <si>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</si>
  <si>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</si>
  <si>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</si>
  <si>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</si>
  <si>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</si>
  <si>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</si>
  <si>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</si>
  <si>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</si>
  <si>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</si>
  <si>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</si>
  <si>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Pas de piège avec la touche TAB. Tous les éléments sont atteignables</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</si>
  <si>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</si>
  <si>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</si>
  <si>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</si>
  <si>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</si>
  <si>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</si>
  <si>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</si>
  <si>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</si>
  <si>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</si>
  <si>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</si>
  <si>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</si>
  <si>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</si>
  <si>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</si>
  <si>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</si>
  <si>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</si>
  <si>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</si>
  <si>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</si>
  <si>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</si>
  <si>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</si>
  <si>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</si>
  <si>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</si>
  <si>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</si>
  <si>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</si>
  <si>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</si>
  <si>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</si>
  <si>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</si>
  <si>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</si>
  <si>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</si>
  <si>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</si>
  <si>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</si>
  <si>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</si>
  <si>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</si>
  <si>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 xml:space="preserve">Type button appliqué au composant. Pour declencher l'action du bouton on appuie sur la touche Enter ou Space garantissant  que les utilisateurs peuvent naviguer et interagir avec votre application en utilisant uniquement le clavier. </t>
  </si>
  <si>
    <t>- https://www.w3.org/WAI/ARIA/apg/patterns/button/
- https://vuetifyjs.com/en/components/buttons/#accessibility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</si>
</sst>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s>
  <fills count="7">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theme="9" tint="0.59999389629810485"/>
        <bgColor indexed="64"/>
      </patternFill>
    </fill>
  </fills>
  <borders count="11">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3">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3" fillId="0" borderId="5" xfId="0" applyFont="1" applyBorder="1" applyAlignment="1">
      <alignment horizontal="left" vertical="top" wrapText="1"/>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11" fillId="3" borderId="5" xfId="0" applyFont="1" applyFill="1" applyBorder="1" applyAlignment="1">
      <alignment horizontal="left"/>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2" fillId="4" borderId="8" xfId="0" applyFont="1" applyFill="1" applyBorder="1" applyAlignment="1">
      <alignment horizontal="center" vertical="center" textRotation="90" wrapText="1"/>
    </xf>
    <xf numFmtId="0" fontId="2" fillId="5" borderId="0" xfId="0" applyFont="1" applyFill="1" applyAlignment="1">
      <alignment horizontal="center" vertical="center" wrapText="1"/>
    </xf>
    <xf numFmtId="0" fontId="9" fillId="0" borderId="5" xfId="0" applyFont="1" applyBorder="1" applyAlignment="1">
      <alignment horizontal="left" vertical="top" wrapText="1"/>
    </xf>
    <xf numFmtId="14" fontId="3" fillId="0" borderId="0" xfId="0" applyNumberFormat="1" applyFont="1"/>
    <xf numFmtId="9" fontId="3" fillId="0" borderId="0" xfId="0" applyNumberFormat="1" applyFont="1"/>
    <xf numFmtId="0" fontId="3" fillId="6" borderId="0" xfId="0" applyFont="1" applyFill="1" applyAlignment="1">
      <alignment wrapText="1"/>
    </xf>
    <xf numFmtId="0" fontId="3" fillId="0" borderId="0" xfId="0" applyFont="1" applyFill="1"/>
  </cellXfs>
  <cellStyles count="2">
    <cellStyle name="Normal" xfId="0" builtinId="0"/>
    <cellStyle name="Percent" xfId="1" builtinId="5"/>
  </cellStyles>
  <dxfs count="4">
    <dxf>
      <font>
        <color theme="8" tint="-0.24994659260841701"/>
      </font>
      <fill>
        <patternFill>
          <bgColor theme="8" tint="0.7999816888943144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4"/>
  <sheetViews>
    <sheetView tabSelected="1" topLeftCell="C26" zoomScale="90" zoomScaleNormal="90" workbookViewId="0">
      <selection activeCell="F26" sqref="F26"/>
    </sheetView>
  </sheetViews>
  <sheetFormatPr defaultColWidth="10.875" defaultRowHeight="15.95"/>
  <cols>
    <col min="1" max="1" width="15" style="1" customWidth="1"/>
    <col min="2" max="2" width="10.375" style="1" bestFit="1" customWidth="1"/>
    <col min="3" max="3" width="59.875" style="1" customWidth="1"/>
    <col min="4" max="4" width="15.125" style="1" bestFit="1" customWidth="1"/>
    <col min="5" max="5" width="115.125" style="1" customWidth="1"/>
    <col min="6" max="6" width="18.75" style="1" customWidth="1"/>
    <col min="7" max="16384" width="10.875" style="1"/>
  </cols>
  <sheetData>
    <row r="1" spans="1:6" ht="32.1" customHeight="1">
      <c r="A1" s="27" t="s">
        <v>0</v>
      </c>
      <c r="B1" s="27"/>
      <c r="C1" s="27"/>
      <c r="D1" s="27"/>
    </row>
    <row r="2" spans="1:6">
      <c r="A2" s="7"/>
      <c r="B2" s="7"/>
      <c r="C2" s="7"/>
      <c r="D2" s="1" t="s">
        <v>1</v>
      </c>
      <c r="E2" s="1" t="s">
        <v>2</v>
      </c>
    </row>
    <row r="3" spans="1:6" ht="18.95">
      <c r="A3" s="28" t="s">
        <v>3</v>
      </c>
      <c r="B3" s="28"/>
      <c r="C3" s="28"/>
      <c r="D3" s="8">
        <v>45755</v>
      </c>
      <c r="E3" s="29">
        <v>45771</v>
      </c>
    </row>
    <row r="4" spans="1:6" ht="18.95" customHeight="1">
      <c r="A4" s="20" t="s">
        <v>4</v>
      </c>
      <c r="B4" s="21"/>
      <c r="C4" s="22"/>
      <c r="D4" s="13" t="s">
        <v>5</v>
      </c>
      <c r="E4" s="1" t="s">
        <v>6</v>
      </c>
    </row>
    <row r="5" spans="1:6" ht="15.95" customHeight="1">
      <c r="A5" s="20" t="s">
        <v>7</v>
      </c>
      <c r="B5" s="21"/>
      <c r="C5" s="22"/>
      <c r="D5" s="9">
        <f xml:space="preserve"> COUNTIF($D$14:$D$119,"Conforme")</f>
        <v>9</v>
      </c>
      <c r="E5" s="1">
        <v>14</v>
      </c>
    </row>
    <row r="6" spans="1:6" ht="18.95" customHeight="1">
      <c r="A6" s="20" t="s">
        <v>8</v>
      </c>
      <c r="B6" s="21"/>
      <c r="C6" s="22"/>
      <c r="D6" s="9">
        <f xml:space="preserve"> COUNTIF($D$14:$D$119,"Non conforme")</f>
        <v>5</v>
      </c>
      <c r="E6" s="1">
        <v>0</v>
      </c>
    </row>
    <row r="7" spans="1:6" ht="18.95" customHeight="1">
      <c r="A7" s="20" t="s">
        <v>9</v>
      </c>
      <c r="B7" s="21"/>
      <c r="C7" s="22"/>
      <c r="D7" s="9">
        <f xml:space="preserve"> COUNTIF($D$14:$D$119,"Non applicable")</f>
        <v>92</v>
      </c>
      <c r="E7" s="1">
        <v>92</v>
      </c>
    </row>
    <row r="8" spans="1:6" ht="18.95" customHeight="1">
      <c r="A8" s="20" t="s">
        <v>10</v>
      </c>
      <c r="B8" s="21"/>
      <c r="C8" s="22"/>
      <c r="D8" s="9">
        <f xml:space="preserve"> COUNTIF($D$14:$D$119,"Dérogé")</f>
        <v>0</v>
      </c>
      <c r="E8" s="1">
        <v>0</v>
      </c>
    </row>
    <row r="9" spans="1:6" ht="18.95" customHeight="1">
      <c r="A9" s="20" t="s">
        <v>11</v>
      </c>
      <c r="B9" s="21"/>
      <c r="C9" s="22"/>
      <c r="D9" s="9">
        <f xml:space="preserve"> COUNTIF($D$14:$D$119,"Non testé")</f>
        <v>0</v>
      </c>
      <c r="E9" s="1">
        <v>0</v>
      </c>
    </row>
    <row r="10" spans="1:6" ht="18.95" customHeight="1">
      <c r="A10" s="23" t="s">
        <v>12</v>
      </c>
      <c r="B10" s="24"/>
      <c r="C10" s="25"/>
      <c r="D10" s="14">
        <f>IF(SUM(D5:D6)&gt;0,D5/SUM(D5:D6),"")</f>
        <v>0.6428571428571429</v>
      </c>
      <c r="E10" s="30">
        <v>1</v>
      </c>
    </row>
    <row r="11" spans="1:6" ht="18.95" customHeight="1">
      <c r="A11" s="23" t="s">
        <v>13</v>
      </c>
      <c r="B11" s="24"/>
      <c r="C11" s="25"/>
      <c r="D11" s="14">
        <f>IF(SUM(D5:D6)&gt;0,1-ROUND(D10,2),"")</f>
        <v>0.36</v>
      </c>
      <c r="E11" s="30">
        <v>0</v>
      </c>
    </row>
    <row r="12" spans="1:6">
      <c r="A12" s="7"/>
      <c r="B12" s="7"/>
      <c r="C12" s="7"/>
    </row>
    <row r="13" spans="1:6" ht="18.95">
      <c r="A13" s="4" t="s">
        <v>14</v>
      </c>
      <c r="B13" s="4" t="s">
        <v>15</v>
      </c>
      <c r="C13" s="4" t="s">
        <v>16</v>
      </c>
      <c r="D13" s="4" t="s">
        <v>17</v>
      </c>
      <c r="E13" s="6" t="s">
        <v>18</v>
      </c>
    </row>
    <row r="14" spans="1:6" ht="33.950000000000003">
      <c r="A14" s="26" t="s">
        <v>19</v>
      </c>
      <c r="B14" s="2" t="s">
        <v>20</v>
      </c>
      <c r="C14" s="3" t="s">
        <v>21</v>
      </c>
      <c r="D14" s="5" t="s">
        <v>22</v>
      </c>
      <c r="E14" s="11"/>
    </row>
    <row r="15" spans="1:6" ht="32.25">
      <c r="A15" s="17"/>
      <c r="B15" s="2" t="s">
        <v>23</v>
      </c>
      <c r="C15" s="3" t="s">
        <v>24</v>
      </c>
      <c r="D15" s="5" t="s">
        <v>25</v>
      </c>
      <c r="E15" s="12" t="s">
        <v>26</v>
      </c>
      <c r="F15" s="31" t="s">
        <v>27</v>
      </c>
    </row>
    <row r="16" spans="1:6" ht="33.950000000000003">
      <c r="A16" s="17"/>
      <c r="B16" s="2" t="s">
        <v>28</v>
      </c>
      <c r="C16" s="3" t="s">
        <v>29</v>
      </c>
      <c r="D16" s="5" t="s">
        <v>22</v>
      </c>
      <c r="E16" s="11"/>
    </row>
    <row r="17" spans="1:6" ht="51">
      <c r="A17" s="17"/>
      <c r="B17" s="2" t="s">
        <v>30</v>
      </c>
      <c r="C17" s="3" t="s">
        <v>31</v>
      </c>
      <c r="D17" s="5" t="s">
        <v>22</v>
      </c>
      <c r="E17" s="11"/>
    </row>
    <row r="18" spans="1:6" ht="33.950000000000003">
      <c r="A18" s="17"/>
      <c r="B18" s="2" t="s">
        <v>32</v>
      </c>
      <c r="C18" s="3" t="s">
        <v>33</v>
      </c>
      <c r="D18" s="5" t="s">
        <v>22</v>
      </c>
      <c r="E18" s="11"/>
    </row>
    <row r="19" spans="1:6" ht="33.950000000000003">
      <c r="A19" s="17"/>
      <c r="B19" s="2" t="s">
        <v>34</v>
      </c>
      <c r="C19" s="3" t="s">
        <v>35</v>
      </c>
      <c r="D19" s="5" t="s">
        <v>22</v>
      </c>
      <c r="E19" s="11"/>
    </row>
    <row r="20" spans="1:6" ht="33.950000000000003">
      <c r="A20" s="17"/>
      <c r="B20" s="2" t="s">
        <v>36</v>
      </c>
      <c r="C20" s="3" t="s">
        <v>37</v>
      </c>
      <c r="D20" s="5" t="s">
        <v>22</v>
      </c>
      <c r="E20" s="11"/>
    </row>
    <row r="21" spans="1:6" ht="51">
      <c r="A21" s="17"/>
      <c r="B21" s="2" t="s">
        <v>38</v>
      </c>
      <c r="C21" s="3" t="s">
        <v>39</v>
      </c>
      <c r="D21" s="5" t="s">
        <v>22</v>
      </c>
      <c r="E21" s="11"/>
    </row>
    <row r="22" spans="1:6" ht="33.950000000000003">
      <c r="A22" s="18"/>
      <c r="B22" s="2" t="s">
        <v>40</v>
      </c>
      <c r="C22" s="3" t="s">
        <v>41</v>
      </c>
      <c r="D22" s="5" t="s">
        <v>22</v>
      </c>
      <c r="E22" s="11"/>
    </row>
    <row r="23" spans="1:6" ht="18.95">
      <c r="A23" s="16" t="s">
        <v>42</v>
      </c>
      <c r="B23" s="2" t="s">
        <v>43</v>
      </c>
      <c r="C23" s="3" t="s">
        <v>44</v>
      </c>
      <c r="D23" s="5" t="s">
        <v>22</v>
      </c>
      <c r="E23" s="11"/>
    </row>
    <row r="24" spans="1:6" ht="33.950000000000003">
      <c r="A24" s="18"/>
      <c r="B24" s="2" t="s">
        <v>45</v>
      </c>
      <c r="C24" s="3" t="s">
        <v>46</v>
      </c>
      <c r="D24" s="5" t="s">
        <v>22</v>
      </c>
      <c r="E24" s="11"/>
    </row>
    <row r="25" spans="1:6" ht="33.950000000000003">
      <c r="A25" s="16" t="s">
        <v>47</v>
      </c>
      <c r="B25" s="2" t="s">
        <v>48</v>
      </c>
      <c r="C25" s="3" t="s">
        <v>49</v>
      </c>
      <c r="D25" s="5" t="s">
        <v>22</v>
      </c>
      <c r="E25" s="11"/>
    </row>
    <row r="26" spans="1:6" ht="353.25">
      <c r="A26" s="17"/>
      <c r="B26" s="2" t="s">
        <v>50</v>
      </c>
      <c r="C26" s="3" t="s">
        <v>51</v>
      </c>
      <c r="D26" s="5" t="s">
        <v>25</v>
      </c>
      <c r="E26" s="11" t="s">
        <v>52</v>
      </c>
      <c r="F26" s="31" t="s">
        <v>27</v>
      </c>
    </row>
    <row r="27" spans="1:6" ht="408" customHeight="1">
      <c r="A27" s="18"/>
      <c r="B27" s="2" t="s">
        <v>53</v>
      </c>
      <c r="C27" s="3" t="s">
        <v>54</v>
      </c>
      <c r="D27" s="5" t="s">
        <v>25</v>
      </c>
      <c r="E27" s="11" t="s">
        <v>55</v>
      </c>
      <c r="F27" s="31" t="s">
        <v>27</v>
      </c>
    </row>
    <row r="28" spans="1:6" ht="33.950000000000003">
      <c r="A28" s="16" t="s">
        <v>56</v>
      </c>
      <c r="B28" s="2" t="s">
        <v>57</v>
      </c>
      <c r="C28" s="3" t="s">
        <v>58</v>
      </c>
      <c r="D28" s="5" t="s">
        <v>22</v>
      </c>
      <c r="E28" s="11"/>
    </row>
    <row r="29" spans="1:6" ht="51">
      <c r="A29" s="17"/>
      <c r="B29" s="2" t="s">
        <v>59</v>
      </c>
      <c r="C29" s="3" t="s">
        <v>60</v>
      </c>
      <c r="D29" s="5" t="s">
        <v>22</v>
      </c>
      <c r="E29" s="11"/>
    </row>
    <row r="30" spans="1:6" ht="33.950000000000003">
      <c r="A30" s="17"/>
      <c r="B30" s="2" t="s">
        <v>61</v>
      </c>
      <c r="C30" s="3" t="s">
        <v>62</v>
      </c>
      <c r="D30" s="5" t="s">
        <v>22</v>
      </c>
      <c r="E30" s="11"/>
    </row>
    <row r="31" spans="1:6" ht="33.950000000000003">
      <c r="A31" s="17"/>
      <c r="B31" s="2" t="s">
        <v>63</v>
      </c>
      <c r="C31" s="3" t="s">
        <v>64</v>
      </c>
      <c r="D31" s="5" t="s">
        <v>22</v>
      </c>
      <c r="E31" s="11"/>
    </row>
    <row r="32" spans="1:6" ht="33.950000000000003">
      <c r="A32" s="17"/>
      <c r="B32" s="2" t="s">
        <v>65</v>
      </c>
      <c r="C32" s="3" t="s">
        <v>66</v>
      </c>
      <c r="D32" s="5" t="s">
        <v>22</v>
      </c>
      <c r="E32" s="11"/>
    </row>
    <row r="33" spans="1:5" ht="33.950000000000003">
      <c r="A33" s="17"/>
      <c r="B33" s="2" t="s">
        <v>67</v>
      </c>
      <c r="C33" s="3" t="s">
        <v>68</v>
      </c>
      <c r="D33" s="5" t="s">
        <v>22</v>
      </c>
      <c r="E33" s="11"/>
    </row>
    <row r="34" spans="1:5" ht="33.950000000000003">
      <c r="A34" s="17"/>
      <c r="B34" s="2" t="s">
        <v>69</v>
      </c>
      <c r="C34" s="3" t="s">
        <v>70</v>
      </c>
      <c r="D34" s="5" t="s">
        <v>22</v>
      </c>
      <c r="E34" s="11"/>
    </row>
    <row r="35" spans="1:5" ht="33.950000000000003">
      <c r="A35" s="17"/>
      <c r="B35" s="2" t="s">
        <v>71</v>
      </c>
      <c r="C35" s="3" t="s">
        <v>72</v>
      </c>
      <c r="D35" s="5" t="s">
        <v>22</v>
      </c>
      <c r="E35" s="11"/>
    </row>
    <row r="36" spans="1:5" ht="33.950000000000003">
      <c r="A36" s="17"/>
      <c r="B36" s="2" t="s">
        <v>73</v>
      </c>
      <c r="C36" s="3" t="s">
        <v>74</v>
      </c>
      <c r="D36" s="5" t="s">
        <v>22</v>
      </c>
      <c r="E36" s="11"/>
    </row>
    <row r="37" spans="1:5" ht="33.950000000000003">
      <c r="A37" s="17"/>
      <c r="B37" s="2" t="s">
        <v>75</v>
      </c>
      <c r="C37" s="3" t="s">
        <v>76</v>
      </c>
      <c r="D37" s="5" t="s">
        <v>22</v>
      </c>
      <c r="E37" s="11"/>
    </row>
    <row r="38" spans="1:5" ht="33.950000000000003">
      <c r="A38" s="17"/>
      <c r="B38" s="2" t="s">
        <v>77</v>
      </c>
      <c r="C38" s="3" t="s">
        <v>78</v>
      </c>
      <c r="D38" s="5" t="s">
        <v>22</v>
      </c>
      <c r="E38" s="11"/>
    </row>
    <row r="39" spans="1:5" ht="33.950000000000003">
      <c r="A39" s="17"/>
      <c r="B39" s="2" t="s">
        <v>79</v>
      </c>
      <c r="C39" s="3" t="s">
        <v>80</v>
      </c>
      <c r="D39" s="5" t="s">
        <v>22</v>
      </c>
      <c r="E39" s="11"/>
    </row>
    <row r="40" spans="1:5" ht="33.950000000000003">
      <c r="A40" s="18"/>
      <c r="B40" s="2" t="s">
        <v>81</v>
      </c>
      <c r="C40" s="3" t="s">
        <v>82</v>
      </c>
      <c r="D40" s="5" t="s">
        <v>22</v>
      </c>
      <c r="E40" s="11"/>
    </row>
    <row r="41" spans="1:5" ht="18.95">
      <c r="A41" s="16" t="s">
        <v>83</v>
      </c>
      <c r="B41" s="2" t="s">
        <v>84</v>
      </c>
      <c r="C41" s="3" t="s">
        <v>85</v>
      </c>
      <c r="D41" s="5" t="s">
        <v>22</v>
      </c>
      <c r="E41" s="11"/>
    </row>
    <row r="42" spans="1:5" ht="33.950000000000003">
      <c r="A42" s="17"/>
      <c r="B42" s="2" t="s">
        <v>86</v>
      </c>
      <c r="C42" s="3" t="s">
        <v>87</v>
      </c>
      <c r="D42" s="5" t="s">
        <v>22</v>
      </c>
      <c r="E42" s="11"/>
    </row>
    <row r="43" spans="1:5" ht="33.950000000000003">
      <c r="A43" s="17"/>
      <c r="B43" s="2" t="s">
        <v>88</v>
      </c>
      <c r="C43" s="3" t="s">
        <v>89</v>
      </c>
      <c r="D43" s="5" t="s">
        <v>22</v>
      </c>
      <c r="E43" s="11"/>
    </row>
    <row r="44" spans="1:5" ht="33.950000000000003">
      <c r="A44" s="17"/>
      <c r="B44" s="2" t="s">
        <v>90</v>
      </c>
      <c r="C44" s="3" t="s">
        <v>91</v>
      </c>
      <c r="D44" s="5" t="s">
        <v>22</v>
      </c>
      <c r="E44" s="11"/>
    </row>
    <row r="45" spans="1:5" ht="33.950000000000003">
      <c r="A45" s="17"/>
      <c r="B45" s="2" t="s">
        <v>92</v>
      </c>
      <c r="C45" s="3" t="s">
        <v>93</v>
      </c>
      <c r="D45" s="5" t="s">
        <v>22</v>
      </c>
      <c r="E45" s="11"/>
    </row>
    <row r="46" spans="1:5" ht="33.950000000000003">
      <c r="A46" s="17"/>
      <c r="B46" s="2" t="s">
        <v>94</v>
      </c>
      <c r="C46" s="3" t="s">
        <v>95</v>
      </c>
      <c r="D46" s="5" t="s">
        <v>22</v>
      </c>
      <c r="E46" s="11"/>
    </row>
    <row r="47" spans="1:5" ht="51">
      <c r="A47" s="17"/>
      <c r="B47" s="2" t="s">
        <v>96</v>
      </c>
      <c r="C47" s="3" t="s">
        <v>97</v>
      </c>
      <c r="D47" s="5" t="s">
        <v>22</v>
      </c>
      <c r="E47" s="11"/>
    </row>
    <row r="48" spans="1:5" ht="33.950000000000003">
      <c r="A48" s="18"/>
      <c r="B48" s="2" t="s">
        <v>98</v>
      </c>
      <c r="C48" s="3" t="s">
        <v>99</v>
      </c>
      <c r="D48" s="5" t="s">
        <v>22</v>
      </c>
      <c r="E48" s="11"/>
    </row>
    <row r="49" spans="1:6" ht="18.95">
      <c r="A49" s="16" t="s">
        <v>100</v>
      </c>
      <c r="B49" s="2" t="s">
        <v>101</v>
      </c>
      <c r="C49" s="3" t="s">
        <v>102</v>
      </c>
      <c r="D49" s="5" t="s">
        <v>22</v>
      </c>
      <c r="E49" s="11"/>
    </row>
    <row r="50" spans="1:6" ht="18.95">
      <c r="A50" s="18"/>
      <c r="B50" s="2" t="s">
        <v>103</v>
      </c>
      <c r="C50" s="3" t="s">
        <v>104</v>
      </c>
      <c r="D50" s="5" t="s">
        <v>22</v>
      </c>
      <c r="E50" s="11"/>
    </row>
    <row r="51" spans="1:6" ht="51">
      <c r="A51" s="16" t="s">
        <v>105</v>
      </c>
      <c r="B51" s="2" t="s">
        <v>106</v>
      </c>
      <c r="C51" s="3" t="s">
        <v>107</v>
      </c>
      <c r="D51" s="5" t="s">
        <v>108</v>
      </c>
      <c r="E51" s="11" t="s">
        <v>109</v>
      </c>
    </row>
    <row r="52" spans="1:6" ht="33.950000000000003">
      <c r="A52" s="17"/>
      <c r="B52" s="2" t="s">
        <v>110</v>
      </c>
      <c r="C52" s="3" t="s">
        <v>111</v>
      </c>
      <c r="D52" s="5" t="s">
        <v>22</v>
      </c>
      <c r="E52" s="11"/>
    </row>
    <row r="53" spans="1:6" ht="33.950000000000003">
      <c r="A53" s="17"/>
      <c r="B53" s="2" t="s">
        <v>112</v>
      </c>
      <c r="C53" s="3" t="s">
        <v>113</v>
      </c>
      <c r="D53" s="5" t="s">
        <v>108</v>
      </c>
      <c r="E53" s="11" t="s">
        <v>114</v>
      </c>
    </row>
    <row r="54" spans="1:6" ht="33.950000000000003">
      <c r="A54" s="17"/>
      <c r="B54" s="2" t="s">
        <v>115</v>
      </c>
      <c r="C54" s="3" t="s">
        <v>116</v>
      </c>
      <c r="D54" s="5" t="s">
        <v>22</v>
      </c>
      <c r="E54" s="11"/>
    </row>
    <row r="55" spans="1:6" ht="33.950000000000003">
      <c r="A55" s="18"/>
      <c r="B55" s="2" t="s">
        <v>117</v>
      </c>
      <c r="C55" s="3" t="s">
        <v>118</v>
      </c>
      <c r="D55" s="5" t="s">
        <v>22</v>
      </c>
      <c r="E55" s="11"/>
    </row>
    <row r="56" spans="1:6" ht="18.95">
      <c r="A56" s="16" t="s">
        <v>119</v>
      </c>
      <c r="B56" s="2" t="s">
        <v>120</v>
      </c>
      <c r="C56" s="3" t="s">
        <v>121</v>
      </c>
      <c r="D56" s="5" t="s">
        <v>22</v>
      </c>
      <c r="E56" s="11"/>
    </row>
    <row r="57" spans="1:6" ht="108">
      <c r="A57" s="17"/>
      <c r="B57" s="2" t="s">
        <v>122</v>
      </c>
      <c r="C57" s="3" t="s">
        <v>123</v>
      </c>
      <c r="D57" s="5" t="s">
        <v>25</v>
      </c>
      <c r="E57" s="11" t="s">
        <v>124</v>
      </c>
      <c r="F57" s="31" t="s">
        <v>27</v>
      </c>
    </row>
    <row r="58" spans="1:6" ht="18.95">
      <c r="A58" s="17"/>
      <c r="B58" s="2" t="s">
        <v>125</v>
      </c>
      <c r="C58" s="3" t="s">
        <v>126</v>
      </c>
      <c r="D58" s="5" t="s">
        <v>22</v>
      </c>
      <c r="E58" s="11"/>
    </row>
    <row r="59" spans="1:6" ht="33.950000000000003">
      <c r="A59" s="17"/>
      <c r="B59" s="2" t="s">
        <v>127</v>
      </c>
      <c r="C59" s="3" t="s">
        <v>128</v>
      </c>
      <c r="D59" s="5" t="s">
        <v>22</v>
      </c>
      <c r="E59" s="11"/>
    </row>
    <row r="60" spans="1:6" ht="18.95">
      <c r="A60" s="17"/>
      <c r="B60" s="2" t="s">
        <v>129</v>
      </c>
      <c r="C60" s="3" t="s">
        <v>130</v>
      </c>
      <c r="D60" s="5" t="s">
        <v>22</v>
      </c>
      <c r="E60" s="11"/>
    </row>
    <row r="61" spans="1:6" ht="18.95">
      <c r="A61" s="17"/>
      <c r="B61" s="2" t="s">
        <v>131</v>
      </c>
      <c r="C61" s="3" t="s">
        <v>132</v>
      </c>
      <c r="D61" s="5" t="s">
        <v>22</v>
      </c>
      <c r="E61" s="11"/>
    </row>
    <row r="62" spans="1:6" ht="33.950000000000003">
      <c r="A62" s="17"/>
      <c r="B62" s="2" t="s">
        <v>133</v>
      </c>
      <c r="C62" s="3" t="s">
        <v>134</v>
      </c>
      <c r="D62" s="5" t="s">
        <v>22</v>
      </c>
      <c r="E62" s="11"/>
    </row>
    <row r="63" spans="1:6" ht="33.950000000000003">
      <c r="A63" s="17"/>
      <c r="B63" s="2" t="s">
        <v>135</v>
      </c>
      <c r="C63" s="3" t="s">
        <v>136</v>
      </c>
      <c r="D63" s="5" t="s">
        <v>22</v>
      </c>
      <c r="E63" s="11"/>
    </row>
    <row r="64" spans="1:6" ht="33.950000000000003">
      <c r="A64" s="17"/>
      <c r="B64" s="2" t="s">
        <v>137</v>
      </c>
      <c r="C64" s="3" t="s">
        <v>138</v>
      </c>
      <c r="D64" s="5" t="s">
        <v>22</v>
      </c>
      <c r="E64" s="11"/>
    </row>
    <row r="65" spans="1:6" ht="33.950000000000003">
      <c r="A65" s="18"/>
      <c r="B65" s="2" t="s">
        <v>139</v>
      </c>
      <c r="C65" s="3" t="s">
        <v>140</v>
      </c>
      <c r="D65" s="5" t="s">
        <v>22</v>
      </c>
      <c r="E65" s="11"/>
    </row>
    <row r="66" spans="1:6" ht="33.950000000000003">
      <c r="A66" s="16" t="s">
        <v>141</v>
      </c>
      <c r="B66" s="2" t="s">
        <v>142</v>
      </c>
      <c r="C66" s="3" t="s">
        <v>143</v>
      </c>
      <c r="D66" s="5" t="s">
        <v>22</v>
      </c>
      <c r="E66" s="11"/>
    </row>
    <row r="67" spans="1:6" ht="33.950000000000003">
      <c r="A67" s="17"/>
      <c r="B67" s="2" t="s">
        <v>144</v>
      </c>
      <c r="C67" s="3" t="s">
        <v>145</v>
      </c>
      <c r="D67" s="5" t="s">
        <v>22</v>
      </c>
      <c r="E67" s="11"/>
    </row>
    <row r="68" spans="1:6" ht="18.95">
      <c r="A68" s="17"/>
      <c r="B68" s="2" t="s">
        <v>146</v>
      </c>
      <c r="C68" s="3" t="s">
        <v>147</v>
      </c>
      <c r="D68" s="5" t="s">
        <v>22</v>
      </c>
      <c r="E68" s="11"/>
    </row>
    <row r="69" spans="1:6" ht="33.950000000000003">
      <c r="A69" s="18"/>
      <c r="B69" s="2" t="s">
        <v>148</v>
      </c>
      <c r="C69" s="3" t="s">
        <v>149</v>
      </c>
      <c r="D69" s="5" t="s">
        <v>22</v>
      </c>
      <c r="E69" s="11"/>
    </row>
    <row r="70" spans="1:6" ht="51">
      <c r="A70" s="16" t="s">
        <v>150</v>
      </c>
      <c r="B70" s="2" t="s">
        <v>151</v>
      </c>
      <c r="C70" s="3" t="s">
        <v>152</v>
      </c>
      <c r="D70" s="5" t="s">
        <v>108</v>
      </c>
      <c r="E70" s="11" t="s">
        <v>153</v>
      </c>
    </row>
    <row r="71" spans="1:6" ht="33.950000000000003">
      <c r="A71" s="17"/>
      <c r="B71" s="2" t="s">
        <v>154</v>
      </c>
      <c r="C71" s="3" t="s">
        <v>155</v>
      </c>
      <c r="D71" s="5" t="s">
        <v>108</v>
      </c>
      <c r="E71" s="11" t="s">
        <v>156</v>
      </c>
    </row>
    <row r="72" spans="1:6" ht="33.950000000000003">
      <c r="A72" s="17"/>
      <c r="B72" s="2" t="s">
        <v>157</v>
      </c>
      <c r="C72" s="3" t="s">
        <v>158</v>
      </c>
      <c r="D72" s="5" t="s">
        <v>108</v>
      </c>
      <c r="E72" s="11" t="s">
        <v>159</v>
      </c>
    </row>
    <row r="73" spans="1:6" ht="51">
      <c r="A73" s="17"/>
      <c r="B73" s="2" t="s">
        <v>160</v>
      </c>
      <c r="C73" s="3" t="s">
        <v>161</v>
      </c>
      <c r="D73" s="5" t="s">
        <v>108</v>
      </c>
      <c r="E73" s="11" t="s">
        <v>162</v>
      </c>
    </row>
    <row r="74" spans="1:6" ht="33.950000000000003">
      <c r="A74" s="17"/>
      <c r="B74" s="2" t="s">
        <v>163</v>
      </c>
      <c r="C74" s="3" t="s">
        <v>164</v>
      </c>
      <c r="D74" s="5" t="s">
        <v>22</v>
      </c>
      <c r="E74" s="11"/>
    </row>
    <row r="75" spans="1:6" ht="33.950000000000003">
      <c r="A75" s="17"/>
      <c r="B75" s="2" t="s">
        <v>165</v>
      </c>
      <c r="C75" s="3" t="s">
        <v>166</v>
      </c>
      <c r="D75" s="5" t="s">
        <v>22</v>
      </c>
      <c r="E75" s="11"/>
    </row>
    <row r="76" spans="1:6" ht="32.25">
      <c r="A76" s="17"/>
      <c r="B76" s="2" t="s">
        <v>167</v>
      </c>
      <c r="C76" s="3" t="s">
        <v>168</v>
      </c>
      <c r="D76" s="5" t="s">
        <v>25</v>
      </c>
      <c r="E76" s="11" t="s">
        <v>169</v>
      </c>
      <c r="F76" s="31" t="s">
        <v>27</v>
      </c>
    </row>
    <row r="77" spans="1:6" ht="33.950000000000003">
      <c r="A77" s="17"/>
      <c r="B77" s="2" t="s">
        <v>170</v>
      </c>
      <c r="C77" s="3" t="s">
        <v>171</v>
      </c>
      <c r="D77" s="5" t="s">
        <v>22</v>
      </c>
      <c r="E77" s="11"/>
      <c r="F77" s="32"/>
    </row>
    <row r="78" spans="1:6" ht="51">
      <c r="A78" s="17"/>
      <c r="B78" s="2" t="s">
        <v>172</v>
      </c>
      <c r="C78" s="3" t="s">
        <v>173</v>
      </c>
      <c r="D78" s="5" t="s">
        <v>22</v>
      </c>
      <c r="E78" s="11"/>
    </row>
    <row r="79" spans="1:6" ht="51">
      <c r="A79" s="17"/>
      <c r="B79" s="2" t="s">
        <v>174</v>
      </c>
      <c r="C79" s="3" t="s">
        <v>175</v>
      </c>
      <c r="D79" s="5" t="s">
        <v>22</v>
      </c>
      <c r="E79" s="11"/>
    </row>
    <row r="80" spans="1:6" ht="84.95">
      <c r="A80" s="17"/>
      <c r="B80" s="2" t="s">
        <v>176</v>
      </c>
      <c r="C80" s="3" t="s">
        <v>177</v>
      </c>
      <c r="D80" s="5" t="s">
        <v>108</v>
      </c>
      <c r="E80" s="11" t="s">
        <v>178</v>
      </c>
    </row>
    <row r="81" spans="1:5" ht="119.1">
      <c r="A81" s="17"/>
      <c r="B81" s="2" t="s">
        <v>179</v>
      </c>
      <c r="C81" s="3" t="s">
        <v>180</v>
      </c>
      <c r="D81" s="5" t="s">
        <v>108</v>
      </c>
      <c r="E81" s="11" t="s">
        <v>181</v>
      </c>
    </row>
    <row r="82" spans="1:5" ht="51">
      <c r="A82" s="17"/>
      <c r="B82" s="2" t="s">
        <v>182</v>
      </c>
      <c r="C82" s="3" t="s">
        <v>183</v>
      </c>
      <c r="D82" s="5" t="s">
        <v>22</v>
      </c>
      <c r="E82" s="11"/>
    </row>
    <row r="83" spans="1:5" ht="51">
      <c r="A83" s="18"/>
      <c r="B83" s="2" t="s">
        <v>184</v>
      </c>
      <c r="C83" s="3" t="s">
        <v>185</v>
      </c>
      <c r="D83" s="5" t="s">
        <v>22</v>
      </c>
      <c r="E83" s="11"/>
    </row>
    <row r="84" spans="1:5" ht="18.95">
      <c r="A84" s="16" t="s">
        <v>186</v>
      </c>
      <c r="B84" s="2" t="s">
        <v>187</v>
      </c>
      <c r="C84" s="3" t="s">
        <v>188</v>
      </c>
      <c r="D84" s="5" t="s">
        <v>22</v>
      </c>
      <c r="E84" s="11"/>
    </row>
    <row r="85" spans="1:5" ht="33.950000000000003">
      <c r="A85" s="17"/>
      <c r="B85" s="2" t="s">
        <v>189</v>
      </c>
      <c r="C85" s="3" t="s">
        <v>190</v>
      </c>
      <c r="D85" s="5" t="s">
        <v>22</v>
      </c>
      <c r="E85" s="11"/>
    </row>
    <row r="86" spans="1:5" ht="51">
      <c r="A86" s="17"/>
      <c r="B86" s="2" t="s">
        <v>191</v>
      </c>
      <c r="C86" s="3" t="s">
        <v>192</v>
      </c>
      <c r="D86" s="5" t="s">
        <v>22</v>
      </c>
      <c r="E86" s="11"/>
    </row>
    <row r="87" spans="1:5" ht="33.950000000000003">
      <c r="A87" s="17"/>
      <c r="B87" s="2" t="s">
        <v>193</v>
      </c>
      <c r="C87" s="3" t="s">
        <v>194</v>
      </c>
      <c r="D87" s="5" t="s">
        <v>22</v>
      </c>
      <c r="E87" s="11"/>
    </row>
    <row r="88" spans="1:5" ht="33.950000000000003">
      <c r="A88" s="17"/>
      <c r="B88" s="2" t="s">
        <v>195</v>
      </c>
      <c r="C88" s="3" t="s">
        <v>196</v>
      </c>
      <c r="D88" s="5" t="s">
        <v>22</v>
      </c>
      <c r="E88" s="11"/>
    </row>
    <row r="89" spans="1:5" ht="33.950000000000003">
      <c r="A89" s="17"/>
      <c r="B89" s="2" t="s">
        <v>197</v>
      </c>
      <c r="C89" s="3" t="s">
        <v>198</v>
      </c>
      <c r="D89" s="5" t="s">
        <v>22</v>
      </c>
      <c r="E89" s="11"/>
    </row>
    <row r="90" spans="1:5" ht="33.950000000000003">
      <c r="A90" s="17"/>
      <c r="B90" s="2" t="s">
        <v>199</v>
      </c>
      <c r="C90" s="3" t="s">
        <v>200</v>
      </c>
      <c r="D90" s="5" t="s">
        <v>22</v>
      </c>
      <c r="E90" s="11"/>
    </row>
    <row r="91" spans="1:5" ht="33.950000000000003">
      <c r="A91" s="17"/>
      <c r="B91" s="2" t="s">
        <v>201</v>
      </c>
      <c r="C91" s="3" t="s">
        <v>202</v>
      </c>
      <c r="D91" s="5" t="s">
        <v>22</v>
      </c>
      <c r="E91" s="11"/>
    </row>
    <row r="92" spans="1:5" ht="33.950000000000003">
      <c r="A92" s="17"/>
      <c r="B92" s="2" t="s">
        <v>203</v>
      </c>
      <c r="C92" s="3" t="s">
        <v>204</v>
      </c>
      <c r="D92" s="5" t="s">
        <v>22</v>
      </c>
      <c r="E92" s="11"/>
    </row>
    <row r="93" spans="1:5" ht="33.950000000000003">
      <c r="A93" s="17"/>
      <c r="B93" s="2" t="s">
        <v>205</v>
      </c>
      <c r="C93" s="3" t="s">
        <v>206</v>
      </c>
      <c r="D93" s="5" t="s">
        <v>22</v>
      </c>
      <c r="E93" s="11"/>
    </row>
    <row r="94" spans="1:5" ht="51">
      <c r="A94" s="17"/>
      <c r="B94" s="2" t="s">
        <v>207</v>
      </c>
      <c r="C94" s="3" t="s">
        <v>208</v>
      </c>
      <c r="D94" s="5" t="s">
        <v>22</v>
      </c>
      <c r="E94" s="11"/>
    </row>
    <row r="95" spans="1:5" ht="84.95">
      <c r="A95" s="17"/>
      <c r="B95" s="2" t="s">
        <v>209</v>
      </c>
      <c r="C95" s="3" t="s">
        <v>210</v>
      </c>
      <c r="D95" s="5" t="s">
        <v>22</v>
      </c>
      <c r="E95" s="11"/>
    </row>
    <row r="96" spans="1:5" ht="51">
      <c r="A96" s="18"/>
      <c r="B96" s="2" t="s">
        <v>211</v>
      </c>
      <c r="C96" s="3" t="s">
        <v>212</v>
      </c>
      <c r="D96" s="5" t="s">
        <v>22</v>
      </c>
      <c r="E96" s="11"/>
    </row>
    <row r="97" spans="1:5" ht="33.950000000000003">
      <c r="A97" s="16" t="s">
        <v>213</v>
      </c>
      <c r="B97" s="2" t="s">
        <v>214</v>
      </c>
      <c r="C97" s="3" t="s">
        <v>215</v>
      </c>
      <c r="D97" s="5" t="s">
        <v>22</v>
      </c>
      <c r="E97" s="11"/>
    </row>
    <row r="98" spans="1:5" ht="33.950000000000003">
      <c r="A98" s="17"/>
      <c r="B98" s="2" t="s">
        <v>216</v>
      </c>
      <c r="C98" s="3" t="s">
        <v>217</v>
      </c>
      <c r="D98" s="5" t="s">
        <v>22</v>
      </c>
      <c r="E98" s="11"/>
    </row>
    <row r="99" spans="1:5" ht="18.95">
      <c r="A99" s="17"/>
      <c r="B99" s="2" t="s">
        <v>218</v>
      </c>
      <c r="C99" s="3" t="s">
        <v>219</v>
      </c>
      <c r="D99" s="5" t="s">
        <v>22</v>
      </c>
      <c r="E99" s="11"/>
    </row>
    <row r="100" spans="1:5" ht="33.950000000000003">
      <c r="A100" s="17"/>
      <c r="B100" s="2" t="s">
        <v>220</v>
      </c>
      <c r="C100" s="3" t="s">
        <v>221</v>
      </c>
      <c r="D100" s="5" t="s">
        <v>22</v>
      </c>
      <c r="E100" s="11"/>
    </row>
    <row r="101" spans="1:5" ht="33.950000000000003">
      <c r="A101" s="17"/>
      <c r="B101" s="2" t="s">
        <v>222</v>
      </c>
      <c r="C101" s="3" t="s">
        <v>223</v>
      </c>
      <c r="D101" s="5" t="s">
        <v>22</v>
      </c>
      <c r="E101" s="11"/>
    </row>
    <row r="102" spans="1:5" ht="68.099999999999994">
      <c r="A102" s="17"/>
      <c r="B102" s="2" t="s">
        <v>224</v>
      </c>
      <c r="C102" s="3" t="s">
        <v>225</v>
      </c>
      <c r="D102" s="5" t="s">
        <v>22</v>
      </c>
      <c r="E102" s="11"/>
    </row>
    <row r="103" spans="1:5" ht="33.950000000000003">
      <c r="A103" s="17"/>
      <c r="B103" s="2" t="s">
        <v>226</v>
      </c>
      <c r="C103" s="3" t="s">
        <v>227</v>
      </c>
      <c r="D103" s="5" t="s">
        <v>22</v>
      </c>
      <c r="E103" s="11"/>
    </row>
    <row r="104" spans="1:5" ht="18.95">
      <c r="A104" s="17"/>
      <c r="B104" s="2" t="s">
        <v>228</v>
      </c>
      <c r="C104" s="3" t="s">
        <v>229</v>
      </c>
      <c r="D104" s="5" t="s">
        <v>22</v>
      </c>
      <c r="E104" s="11"/>
    </row>
    <row r="105" spans="1:5" ht="33.950000000000003">
      <c r="A105" s="17"/>
      <c r="B105" s="2" t="s">
        <v>230</v>
      </c>
      <c r="C105" s="3" t="s">
        <v>231</v>
      </c>
      <c r="D105" s="5" t="s">
        <v>108</v>
      </c>
      <c r="E105" s="11" t="s">
        <v>232</v>
      </c>
    </row>
    <row r="106" spans="1:5" ht="51">
      <c r="A106" s="17"/>
      <c r="B106" s="2" t="s">
        <v>233</v>
      </c>
      <c r="C106" s="3" t="s">
        <v>234</v>
      </c>
      <c r="D106" s="5" t="s">
        <v>22</v>
      </c>
      <c r="E106" s="11"/>
    </row>
    <row r="107" spans="1:5" ht="51">
      <c r="A107" s="18"/>
      <c r="B107" s="2" t="s">
        <v>235</v>
      </c>
      <c r="C107" s="3" t="s">
        <v>236</v>
      </c>
      <c r="D107" s="5" t="s">
        <v>22</v>
      </c>
      <c r="E107" s="11"/>
    </row>
    <row r="108" spans="1:5" ht="33.950000000000003">
      <c r="A108" s="16" t="s">
        <v>237</v>
      </c>
      <c r="B108" s="2" t="s">
        <v>238</v>
      </c>
      <c r="C108" s="3" t="s">
        <v>239</v>
      </c>
      <c r="D108" s="5" t="s">
        <v>22</v>
      </c>
      <c r="E108" s="11"/>
    </row>
    <row r="109" spans="1:5" ht="51">
      <c r="A109" s="17"/>
      <c r="B109" s="2" t="s">
        <v>240</v>
      </c>
      <c r="C109" s="3" t="s">
        <v>241</v>
      </c>
      <c r="D109" s="5" t="s">
        <v>22</v>
      </c>
      <c r="E109" s="11"/>
    </row>
    <row r="110" spans="1:5" ht="51">
      <c r="A110" s="17"/>
      <c r="B110" s="2" t="s">
        <v>242</v>
      </c>
      <c r="C110" s="3" t="s">
        <v>243</v>
      </c>
      <c r="D110" s="5" t="s">
        <v>22</v>
      </c>
      <c r="E110" s="11"/>
    </row>
    <row r="111" spans="1:5" ht="33.950000000000003">
      <c r="A111" s="17"/>
      <c r="B111" s="2" t="s">
        <v>244</v>
      </c>
      <c r="C111" s="3" t="s">
        <v>245</v>
      </c>
      <c r="D111" s="5" t="s">
        <v>22</v>
      </c>
      <c r="E111" s="11"/>
    </row>
    <row r="112" spans="1:5" ht="33.950000000000003">
      <c r="A112" s="17"/>
      <c r="B112" s="2" t="s">
        <v>246</v>
      </c>
      <c r="C112" s="3" t="s">
        <v>247</v>
      </c>
      <c r="D112" s="5" t="s">
        <v>22</v>
      </c>
      <c r="E112" s="11"/>
    </row>
    <row r="113" spans="1:5" ht="51">
      <c r="A113" s="17"/>
      <c r="B113" s="2" t="s">
        <v>248</v>
      </c>
      <c r="C113" s="3" t="s">
        <v>249</v>
      </c>
      <c r="D113" s="5" t="s">
        <v>22</v>
      </c>
      <c r="E113" s="11"/>
    </row>
    <row r="114" spans="1:5" ht="33.950000000000003">
      <c r="A114" s="17"/>
      <c r="B114" s="2" t="s">
        <v>250</v>
      </c>
      <c r="C114" s="3" t="s">
        <v>251</v>
      </c>
      <c r="D114" s="5" t="s">
        <v>22</v>
      </c>
      <c r="E114" s="11"/>
    </row>
    <row r="115" spans="1:5" ht="33.950000000000003">
      <c r="A115" s="17"/>
      <c r="B115" s="2" t="s">
        <v>252</v>
      </c>
      <c r="C115" s="3" t="s">
        <v>253</v>
      </c>
      <c r="D115" s="5" t="s">
        <v>22</v>
      </c>
      <c r="E115" s="11"/>
    </row>
    <row r="116" spans="1:5" ht="51">
      <c r="A116" s="17"/>
      <c r="B116" s="2" t="s">
        <v>254</v>
      </c>
      <c r="C116" s="3" t="s">
        <v>255</v>
      </c>
      <c r="D116" s="5" t="s">
        <v>22</v>
      </c>
      <c r="E116" s="11"/>
    </row>
    <row r="117" spans="1:5" ht="51">
      <c r="A117" s="17"/>
      <c r="B117" s="2" t="s">
        <v>256</v>
      </c>
      <c r="C117" s="3" t="s">
        <v>257</v>
      </c>
      <c r="D117" s="5" t="s">
        <v>22</v>
      </c>
      <c r="E117" s="11"/>
    </row>
    <row r="118" spans="1:5" ht="51">
      <c r="A118" s="17"/>
      <c r="B118" s="2" t="s">
        <v>258</v>
      </c>
      <c r="C118" s="3" t="s">
        <v>259</v>
      </c>
      <c r="D118" s="5" t="s">
        <v>22</v>
      </c>
      <c r="E118" s="11"/>
    </row>
    <row r="119" spans="1:5" ht="51">
      <c r="A119" s="18"/>
      <c r="B119" s="2" t="s">
        <v>260</v>
      </c>
      <c r="C119" s="3" t="s">
        <v>261</v>
      </c>
      <c r="D119" s="5" t="s">
        <v>22</v>
      </c>
      <c r="E119" s="11"/>
    </row>
    <row r="123" spans="1:5">
      <c r="A123" s="19" t="s">
        <v>262</v>
      </c>
      <c r="B123" s="19"/>
      <c r="C123" s="19"/>
      <c r="D123" s="19"/>
      <c r="E123" s="10" t="s">
        <v>263</v>
      </c>
    </row>
    <row r="124" spans="1:5" ht="33" customHeight="1">
      <c r="A124" s="15" t="s">
        <v>264</v>
      </c>
      <c r="B124" s="15"/>
      <c r="C124" s="15"/>
      <c r="D124" s="15"/>
      <c r="E124" s="12" t="s">
        <v>265</v>
      </c>
    </row>
  </sheetData>
  <mergeCells count="25">
    <mergeCell ref="A7:C7"/>
    <mergeCell ref="A1:D1"/>
    <mergeCell ref="A3:C3"/>
    <mergeCell ref="A4:C4"/>
    <mergeCell ref="A5:C5"/>
    <mergeCell ref="A6:C6"/>
    <mergeCell ref="A56:A65"/>
    <mergeCell ref="A8:C8"/>
    <mergeCell ref="A9:C9"/>
    <mergeCell ref="A10:C10"/>
    <mergeCell ref="A11:C11"/>
    <mergeCell ref="A14:A22"/>
    <mergeCell ref="A23:A24"/>
    <mergeCell ref="A25:A27"/>
    <mergeCell ref="A28:A40"/>
    <mergeCell ref="A41:A48"/>
    <mergeCell ref="A49:A50"/>
    <mergeCell ref="A51:A55"/>
    <mergeCell ref="A124:D124"/>
    <mergeCell ref="A66:A69"/>
    <mergeCell ref="A70:A83"/>
    <mergeCell ref="A84:A96"/>
    <mergeCell ref="A97:A107"/>
    <mergeCell ref="A108:A119"/>
    <mergeCell ref="A123:D123"/>
  </mergeCells>
  <conditionalFormatting sqref="D14:E119">
    <cfRule type="expression" dxfId="3" priority="4">
      <formula>$D14="Non conforme"</formula>
    </cfRule>
  </conditionalFormatting>
  <conditionalFormatting sqref="D14 E119">
    <cfRule type="expression" dxfId="2" priority="1">
      <formula>$D14="Non testé"</formula>
    </cfRule>
  </conditionalFormatting>
  <conditionalFormatting sqref="D14:E119">
    <cfRule type="expression" dxfId="1" priority="3">
      <formula>$D14="Conforme"</formula>
    </cfRule>
  </conditionalFormatting>
  <conditionalFormatting sqref="D14:E119">
    <cfRule type="expression" dxfId="0" priority="2">
      <formula>$D14="Dérogé"</formula>
    </cfRule>
  </conditionalFormatting>
  <dataValidations count="2">
    <dataValidation allowBlank="1" showInputMessage="1" showErrorMessage="1" prompt="Format JJ/MM/AAAA" sqref="D3" xr:uid="{00000000-0002-0000-0000-000000000000}"/>
    <dataValidation type="list" allowBlank="1" showInputMessage="1" showErrorMessage="1" sqref="D14:D119" xr:uid="{00000000-0002-0000-0000-000001000000}">
      <formula1>"Conforme,Non conforme,Non applicable,Dérogé,Non testé"</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Roche</dc:creator>
  <cp:keywords/>
  <dc:description/>
  <cp:lastModifiedBy/>
  <cp:revision/>
  <dcterms:created xsi:type="dcterms:W3CDTF">2025-03-05T16:22:31Z</dcterms:created>
  <dcterms:modified xsi:type="dcterms:W3CDTF">2025-04-24T12:53:10Z</dcterms:modified>
  <cp:category/>
  <cp:contentStatus/>
</cp:coreProperties>
</file>
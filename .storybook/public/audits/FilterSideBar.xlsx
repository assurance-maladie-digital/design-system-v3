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HARRIER-32221\Downloads\"/>
    </mc:Choice>
  </mc:AlternateContent>
  <bookViews>
    <workbookView xWindow="-23064" yWindow="-21096" windowWidth="38400" windowHeight="19464"/>
  </bookViews>
  <sheets>
    <sheet name="FilterSideBar" sheetId="2"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<sst xmlns="http://schemas.openxmlformats.org/spreadsheetml/2006/main" count="392" uniqueCount="287">
  <si>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</si>
  <si>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</si>
  <si>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</si>
  <si>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</si>
  <si>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</si>
  <si>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</si>
  <si>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</si>
  <si>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</si>
  <si>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</si>
  <si>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</si>
  <si>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</si>
  <si>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</si>
  <si>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</si>
  <si>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</si>
  <si>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</si>
  <si>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</si>
  <si>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</si>
  <si>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</si>
  <si>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</si>
  <si>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</si>
  <si>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</si>
  <si>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</si>
  <si>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</si>
  <si>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</si>
  <si>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</si>
  <si>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</si>
  <si>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</si>
  <si>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</si>
  <si>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</si>
  <si>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</si>
  <si>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</si>
  <si>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</si>
  <si>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</si>
  <si>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</si>
  <si>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</si>
  <si>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</si>
  <si>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</si>
  <si>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</si>
  <si>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</si>
  <si>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</si>
  <si>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</si>
  <si>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</si>
  <si>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</si>
  <si>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</si>
  <si>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</si>
  <si>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</si>
  <si>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</si>
  <si>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</si>
  <si>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</si>
  <si>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</si>
  <si>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</si>
  <si>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</si>
  <si>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</si>
  <si>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</si>
  <si>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</si>
  <si>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</si>
  <si>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</si>
  <si>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</si>
  <si>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</si>
  <si>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</si>
  <si>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</si>
  <si>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</si>
  <si>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</si>
  <si>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</si>
  <si>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</si>
  <si>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</si>
  <si>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</si>
  <si>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</si>
  <si>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</si>
  <si>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</si>
  <si>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</si>
  <si>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</si>
  <si>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</si>
  <si>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</si>
  <si>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</si>
  <si>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</si>
  <si>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</si>
  <si>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</si>
  <si>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</si>
  <si>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</si>
  <si>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</si>
  <si>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</si>
  <si>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</si>
  <si>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</si>
  <si>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</si>
  <si>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</si>
  <si>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</si>
  <si>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</si>
  <si>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</si>
  <si>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</si>
  <si>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</si>
  <si>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</si>
  <si>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</si>
  <si>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</si>
  <si>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</si>
  <si>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</si>
  <si>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</si>
  <si>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</si>
  <si>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</si>
  <si>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</si>
  <si>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</si>
  <si>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</si>
  <si>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</si>
  <si>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</si>
  <si>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</si>
  <si>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</si>
  <si>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</si>
  <si>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</si>
  <si>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</si>
  <si>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</si>
  <si>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</si>
  <si>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</si>
  <si>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</si>
  <si>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</si>
  <si>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</si>
  <si>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</si>
  <si>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</si>
  <si>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</si>
  <si>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</si>
  <si>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</si>
  <si>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</si>
  <si>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</si>
  <si>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</si>
  <si>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</si>
  <si>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</si>
  <si>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</si>
  <si>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</si>
  <si>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</si>
  <si>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</si>
  <si>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</si>
  <si>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</si>
  <si>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</si>
  <si>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</si>
  <si>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</si>
  <si>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</si>
  <si>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</si>
  <si>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</si>
  <si>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</si>
  <si>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</si>
  <si>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</si>
  <si>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</si>
  <si>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</si>
  <si>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</si>
  <si>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</si>
  <si>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</si>
  <si>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</si>
  <si>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</si>
  <si>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</si>
  <si>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</si>
  <si>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</si>
  <si>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</si>
  <si>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</si>
  <si>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</si>
  <si>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</si>
  <si>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</si>
  <si>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</si>
  <si>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</si>
  <si>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</si>
  <si>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</si>
  <si>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</si>
  <si>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</si>
  <si>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</si>
  <si>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</si>
  <si>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</si>
  <si>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</si>
  <si>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</si>
  <si>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</si>
  <si>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</si>
  <si>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</si>
  <si>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</si>
  <si>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</si>
  <si>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</si>
  <si>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</si>
  <si>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</si>
  <si>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</si>
  <si>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</si>
  <si>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</si>
  <si>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</si>
  <si>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</si>
  <si>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</si>
  <si>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</si>
  <si>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</si>
  <si>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</si>
  <si>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</si>
  <si>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</si>
  <si>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</si>
  <si>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</si>
  <si>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</si>
  <si>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</si>
  <si>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</si>
  <si>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</si>
  <si>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</si>
  <si>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</si>
  <si>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</si>
  <si>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</si>
  <si>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</si>
  <si>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</si>
  <si>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</si>
  <si>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</si>
  <si>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</si>
  <si>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</si>
  <si>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</si>
  <si>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</si>
  <si>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</si>
  <si>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</si>
  <si>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</si>
  <si>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</si>
  <si>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</si>
  <si>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</si>
  <si>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</si>
  <si>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</si>
  <si>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</si>
  <si>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</si>
  <si>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</si>
  <si>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</si>
  <si>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</si>
  <si>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</si>
  <si>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</si>
  <si>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</si>
  <si>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</si>
  <si>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</si>
  <si>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</si>
  <si>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</si>
  <si>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</si>
  <si>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</si>
  <si>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</si>
  <si>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</si>
  <si>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</si>
  <si>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</si>
  <si>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</si>
  <si>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</si>
  <si>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</si>
  <si>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</si>
  <si>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</si>
  <si>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</si>
  <si>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</si>
  <si>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</si>
  <si>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</si>
  <si>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</si>
  <si>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</si>
  <si>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</si>
  <si>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</si>
  <si>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</si>
  <si>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</si>
  <si>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Composant : FilterSideBar</t>
  </si>
  <si>
    <t>Le pattern de conception W3C est "Dialog Modal". Le container doit :
  - avoir le rôle "dialog"
  - avoir l'attribut aria-modal="true"
  - posséder un nom accessible (via aria-label ou aria-labelledby)
  - (optionnellement) posséder une description accessible sauf si la boîte contient des structures sémantiques (listes, tableaux, plusieurs paragraphes, etc.)</t>
  </si>
  <si>
    <t>1- L'élément déclencheur devra donner le focus sur un élément précis de la boîte. Cet élément diffère selon les situations :
  - Si structures sémantiques complexes =&gt; un élément statique au début du contenu + tabindex="-1"
  - S'il s'agit d'une dernière étape d'un processus difficilement réversible (ex: suppression de données) =&gt; bouton d'annulation ou de fermerture
  - S'il s'agit d'information de lecture ou de poursuite d'un traitement =&gt; bouton "continuer" ou de fermerture
  - Sinon =&gt; le titre (avec un taxbindex="-1") ou le bouton de fermeture
2- Lors de la fermerture de la boîte de dialogue, le focus doit revenir sur l'élément déclencheur sauf si :
  - cet élément déclencheur n'existe plus =&gt; focus placé sur un autre élément dans l'ordre logique du flux de lecture
  - il est peu probable que l'utilisateur ait besoin de réouvrir la boîte de dialogue ou que celle-ci concerne une étape ultérieure terminée (ex : au sein d'une boîte d'outil, boîte de dialogue demandant le nombre de ligne à créer pour faire un tableau =&gt; focus sur la première cellule du tableau nouvellement créé).
3- La présence d'un bouton de fermerture est fortement recommandé.
4- Le contenu de la boîte de dialogue n'est pas présent dans le DOM si non visible ou possède un display:none ou visibility:hidden</t>
  </si>
  <si>
    <t>Une fois la boîte de dialogue ouverte, le focus ne devra se déplacer qu'entre les éléments interactifs enfants de cette boîte. La tabulation boucle sur les enfants (si on arrive au dernier élément, le prochain sera le premier et inversement).
Les interactions clavier sont :
  - Tab / Shift+Tab : Déplace le focus vers l'élément interactif suivant (ou précédent si Shift+Tab). Boucle uniquement sur les enfants de la boîte de dialogue
  - Echap : Ferme la boîte de dialogue</t>
  </si>
  <si>
    <t>- https://www.w3.org/WAI/ARIA/apg/patterns/dialog-modal/examples/dialog/
- https://www.accede-web.com/notices/interface-riche/fenetres-modales/</t>
  </si>
  <si>
    <t>- https://www.w3.org/WAI/ARIA/apg/patterns/dialog-modal/examples/dialog/
- https://dsa.service-public-autonomie.fr/latest/librairie-webcomponents/drawer-tiroir/accessibilite-O556sf6F
- https://boosted.orange.com/docs/5.2/components/offcanvas/
- https://designsystem.utah.gov/library/components/containers/drawers</t>
  </si>
  <si>
    <t>- Les filtres sont bien listés sous forme d'une liste et possède un nom accessible "Liste des filtres sélectionnés". En revanche, vu qu'il y a autant de liste de filtres que de champ, il est important de préciser de quelle liste de filtres sélectionnés s'agit-il.
- Les sections accordéons devraient être sémantiquement rattachées à une liste</t>
  </si>
  <si>
    <t>Lorsqu'un filtre est activé (même si non appliqué puisqu'il faut cliquer sur le bouton "Appliquer" pour cela), il est important de donner un retour à l'utilisateur que ce filtre a bien été activé. Deux solutions :
  - Créer une &lt;div role="status" aria-live="polite" class="sr-only"&gt;Le filtre "AT" pour "Type de dossier" a été activé. Pensez à soumettre le formulaire pour appliquer le filtre sur les recherches.&lt;/div&gt;
  - Appliquer le role="status" et aria-live="polite" directement sur le tag (chip). Attention à lui appliquer un aria-label pour expliciter à quel champ a été appliqué la valeur du filtre en question.</t>
  </si>
  <si>
    <t>Le composant FilterSideBar correspond au pattern Dialog. En revanche, il peut être de type modal ou non. Le type modal signifie que l'utilisateur ne peut pas revenir au contenu prinicipal sans avoir quitter la boîte de dialogue (focus trap). L'audit se concentre sur le composant indépendemment de son contenu (inputs, etc.) qui n'est pas porté par le composant lui-même.</t>
  </si>
  <si>
    <r>
      <rPr>
        <b/>
        <u/>
        <sz val="12"/>
        <color theme="1"/>
        <rFont val="Aptos Narrow (Corps)"/>
      </rPr>
      <t>Points positifs :</t>
    </r>
    <r>
      <rPr>
        <sz val="12"/>
        <color theme="1"/>
        <rFont val="Aptos Narrow"/>
        <scheme val="minor"/>
      </rPr>
      <t xml:space="preserve">
  - Suite au déclenchement du bouton "filtres" (et donc l'ouverture du panneau), le focus est bien dirigé vers la balise parent (qui possède un tabindex="0" puisque balise  non focusable à la base)
  - À la fermeture du panneau, le focus est bien redirigé vers le bouton déclencheur
  - À la fermeture du panneau, le focus est bien redirigé vers le bouton déclencheur
</t>
    </r>
    <r>
      <rPr>
        <b/>
        <u/>
        <sz val="12"/>
        <color theme="1"/>
        <rFont val="Aptos Narrow (Corps)"/>
      </rPr>
      <t>Points négatifs :</t>
    </r>
    <r>
      <rPr>
        <sz val="12"/>
        <color theme="1"/>
        <rFont val="Aptos Narrow"/>
        <scheme val="minor"/>
      </rPr>
      <t xml:space="preserve">
    - Si nous sommes dans le cas d'une modale (voir 7.1 et spécificités),  et lorsque le panneau est ouvert, le focus ne devrait se déplacer qu'entre les items focusables enfants de la boîte de dialogue =&gt; principe du "focus trap" 
  - Echap : Ne fonctionne pas, devrait permettre de fermer la boîte de dialogue</t>
    </r>
  </si>
  <si>
    <t>Non conforme</t>
  </si>
  <si>
    <t>Non applicable</t>
  </si>
  <si>
    <t>Les icônes accolées au bouton "Filtres" et au titre des accordéons, ont bien un aria-hidden="true" mais le SVG qu'elles possèdent ont l'attribut role="img"</t>
  </si>
  <si>
    <t>Conforme</t>
  </si>
  <si>
    <t>Le validateur W3C a remonté les erreurs suivantes :
- CSS: --: Parse Error.
- The aria-checked attribute must not be used on an input element which has a type attribute whose value is checkbox.</t>
  </si>
  <si>
    <t>Le panel de filtre est inclus dans une balise nav. Cependant, cela ne devrait pas être le cas car il ne s'agit pas d'une zone de navigation principale ou secondaire. Il s'agit d'un contrôle de formulaire qui devraît être dans une balise form.</t>
  </si>
  <si>
    <t>L'input type text possède la propriété size (invalide le critère 10.1.2). Le select peut conserver cet attribut (fait parti des exceptions du critère).</t>
  </si>
  <si>
    <t>Le contenu visible porteur d'information reste présent lorsque les feuilles de styles sont désactivées.</t>
  </si>
  <si>
    <t>L'information reste compréhensible car chaque élément utilise un élément HTML approprié et l'ordre ne nuit pas à la compréhension du composant.</t>
  </si>
  <si>
    <t>Le texte reste lisible que ce soit en zoom 200% écran ou texte.</t>
  </si>
  <si>
    <t>Background-color sur le panel de filtres + color sur la balise parent.</t>
  </si>
  <si>
    <t>Default :
  - Focus ring bouton =&gt; bordure bleue ciel sur fond blanc =&gt; 1,8 (non conforme =&gt; ratio minimum à 3)
  - Focus accordéon =&gt; fond gris sur fond blanc =&gt; 1,7 (non conforme =&gt; ratio minimum à 3)</t>
  </si>
  <si>
    <t>Focus présent mais pas suffisamment contrasté (voir critère 3.3)</t>
  </si>
  <si>
    <t>Avec une largeur de 320px, dans "Profession", le texte des cases à cocher sont tronqués.</t>
  </si>
  <si>
    <t>Testé avec Assistant RGAA :
body {
line-height: 1.5 !important;
letter-spacing: 0.12em !important;
 word-spacing: 0.16em !important;
}
p { margin-bottom: 2em !important; }</t>
  </si>
  <si>
    <t>Cet audit ne concerne pas les boutons et éléments de formulaire =&gt; voir les audits de ces composants
Default :
  - Libellé bouton (16px gras) :
    - normal =&gt; texte bleu sur fond blanc =&gt; 9,38 (conforme)
    - hover =&gt; texte bleu sur fond ciel =&gt; 8,8 (conforme)
    - focus =&gt; texte bleu sur fond ciel =&gt; 7,7 (conforme)
  - Libellé accordéon (16px normal) :
    - normal =&gt; texte noir sur fond blanc =&gt; 16,07 (conforme)
    - hover =&gt; texte noir sur fond gris clair =&gt; 14,3 (conforme)
    - focus =&gt; texte noir sur fond gris =&gt; 12,4 (conforme)
  - Puce (12px normal) =&gt; texte blanc sur fond bleu =&gt; 6,6 (conforme)</t>
  </si>
  <si>
    <t>L'ordre de tabulation est cohérente</t>
  </si>
  <si>
    <t>Pour chaque élément recevant le focus, il est possible d'atteindre l'élément suivant ou précédent via TAB.</t>
  </si>
  <si>
    <t>1.0.9</t>
  </si>
  <si>
    <r>
      <t xml:space="preserve">Voir en plus critère 7.3
</t>
    </r>
    <r>
      <rPr>
        <b/>
        <u/>
        <sz val="12"/>
        <color theme="1"/>
        <rFont val="Aptos Narrow (Corps)"/>
      </rPr>
      <t>Points positifs :</t>
    </r>
    <r>
      <rPr>
        <sz val="12"/>
        <color theme="1"/>
        <rFont val="Aptos Narrow"/>
        <scheme val="minor"/>
      </rPr>
      <t xml:space="preserve">
  - Un bouton de fermeture est présent
</t>
    </r>
    <r>
      <rPr>
        <b/>
        <u/>
        <sz val="12"/>
        <color theme="1"/>
        <rFont val="Aptos Narrow (Corps)"/>
      </rPr>
      <t>Points négatifs :</t>
    </r>
    <r>
      <rPr>
        <sz val="12"/>
        <color theme="1"/>
        <rFont val="Aptos Narrow"/>
        <scheme val="minor"/>
      </rPr>
      <t xml:space="preserve">
- Le composant devrait répondre au pattern "Dialog" de type modal ou non (voir spécificités en bas). Il est donc préférable, en tant que Design System, de laisser le choix au développeur d'utiliser le mode modal ou non.
    - la balise parent doit avoir le role="dialog" et un nom accessible (modifiable par les développeurs, soit via aria-label, soit un aria-labelledby si un titre est visible) =&gt; attention à bien laisser le tabindex="0" sur cette balise, déjà présente sur la balise "nav" actuelle et mettre le focus sur elle à l'ouverture du panneau
    - Si on est sur le mode modal, la balise parent doit avoir l'attribut aria-modal="true". Sinon, il sera à "false".
    - Le contenu de la boîte de dialogue est accessible au lecteur d'écran alors que le panneau est fermé =&gt; soit insérer le DOM du panneau à la volée en fonction de son état d'ouverture, soit appliquer un display: none ou visibility: hidden lorsqu'il est fermé.
    - Les 3 boutons (Fermer, Réinitialiser et Appliquer)  n'ont pas un nom accessible suffisamment explicite =&gt; Ajouter un aria-label="Fermer la boîte de dialogue '${TITRE}'" ou "Fermer les filtres"
    - Les filtres devraient être dans un form
    - Le bouton "Réinitialiser" devrait avoir le type="reset"
    - Le bouton "Appliquer" devrait avoir le type="submit"</t>
    </r>
  </si>
  <si>
    <t>Suppression de l'attribut "role img"</t>
  </si>
  <si>
    <t>Remplacement du style de focus par un focus ring bleu</t>
  </si>
  <si>
    <t>- Ajout d'un props "modale pour permetre de définir la dialog en tant que modal.
- mise en place de la fermeture de la dialog lors de l'appuis sur la touche "echap".</t>
  </si>
  <si>
    <t>- Ajout des attributs 'aria-live role et aria-label' sur les chips de tris.</t>
  </si>
  <si>
    <t>- Retrait de la balise nav.</t>
  </si>
  <si>
    <t>- Remplacement du VTextField par le SyTextField dans les stories.</t>
  </si>
  <si>
    <t>- Fix de l'effet de focus.</t>
  </si>
  <si>
    <t xml:space="preserve"> - Fixé précédement sur une PR concernant le composant impliqué.</t>
  </si>
  <si>
    <t>- Ajout de la props "modale" afin de permettre de gérer le mode modale et le focus de la dialog.
- Ajout de la propriété aria hidden quand le menu est fermé
- Ajout d'un aria label plus explicite sur les différents bouttons.
- Ajout des type reset et submit.
- Utilisation d'une balise Form.</t>
  </si>
  <si>
    <t>- Adaptation du label sur la liste des filtres appliquées.</t>
  </si>
  <si>
    <t>- Correction des erreurs w3c.</t>
  </si>
  <si>
    <t>1.0.17</t>
  </si>
  <si>
    <t>Correction post audit V1 - (voir - https://github.com/assurance-maladie-digital/design-system-v3/issues/913)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</si>
</sst>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b/>
      <u/>
      <sz val="12"/>
      <color theme="1"/>
      <name val="Aptos Narrow (Corps)"/>
    </font>
    <font>
      <b/>
      <sz val="13.5"/>
      <color rgb="FF000000"/>
      <name val="Aptos Narrow"/>
    </font>
    <font>
      <sz val="13.5"/>
      <color rgb="FF000000"/>
      <name val="Aptos Narrow"/>
    </font>
    <font>
      <sz val="12"/>
      <color theme="6" tint="-0.249977111117893"/>
      <name val="Aptos Narrow"/>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theme="6" tint="0.79998168889431442"/>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46">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3" fillId="0" borderId="6" xfId="0" applyFont="1" applyBorder="1" applyAlignment="1">
      <alignment horizontal="left" vertical="top"/>
    </xf>
    <xf numFmtId="0" fontId="3" fillId="0" borderId="6" xfId="0" applyFont="1" applyBorder="1" applyAlignment="1">
      <alignment horizontal="left" vertical="top"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5" fillId="0" borderId="10" xfId="0" applyFont="1" applyBorder="1" applyAlignment="1">
      <alignment horizontal="left" vertical="top"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9" fillId="0" borderId="5"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xf numFmtId="0" fontId="15" fillId="0" borderId="12" xfId="0" applyFont="1" applyBorder="1" applyAlignment="1">
      <alignment horizontal="right"/>
    </xf>
    <xf numFmtId="14" fontId="16" fillId="0" borderId="1" xfId="0" applyNumberFormat="1" applyFont="1" applyBorder="1"/>
    <xf numFmtId="0" fontId="10" fillId="0" borderId="0" xfId="0" applyFont="1" applyAlignment="1">
      <alignment horizontal="right"/>
    </xf>
    <xf numFmtId="0" fontId="16" fillId="0" borderId="12" xfId="0" applyFont="1" applyBorder="1"/>
    <xf numFmtId="9" fontId="15" fillId="0" borderId="12" xfId="0" applyNumberFormat="1" applyFont="1" applyBorder="1"/>
    <xf numFmtId="0" fontId="17" fillId="6" borderId="5" xfId="0" applyFont="1" applyFill="1" applyBorder="1" applyAlignment="1">
      <alignment vertical="top" wrapText="1"/>
    </xf>
    <xf numFmtId="0" fontId="17" fillId="6" borderId="5" xfId="0" quotePrefix="1" applyFont="1" applyFill="1" applyBorder="1" applyAlignment="1">
      <alignment vertical="top" wrapText="1"/>
    </xf>
    <xf numFmtId="0" fontId="17" fillId="6" borderId="5" xfId="0" quotePrefix="1" applyFont="1" applyFill="1" applyBorder="1" applyAlignment="1">
      <alignment wrapText="1"/>
    </xf>
  </cellXfs>
  <cellStyles count="2">
    <cellStyle name="Normal" xfId="0" builtinId="0"/>
    <cellStyle name="Pourcentage" xfId="1" builtinId="5"/>
  </cellStyles>
  <dxfs count="7">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7"/>
  <sheetViews>
    <sheetView tabSelected="1" topLeftCell="D1" zoomScale="120" zoomScaleNormal="120" workbookViewId="0">
      <selection activeCell="E2" sqref="E2"/>
    </sheetView>
  </sheetViews>
  <sheetFormatPr baseColWidth="10" defaultColWidth="10.81640625" defaultRowHeight="15"/>
  <cols>
    <col min="1" max="1" width="15" style="1" customWidth="1"/>
    <col min="2" max="2" width="10.36328125" style="1" bestFit="1" customWidth="1"/>
    <col min="3" max="3" width="59.81640625" style="1" customWidth="1"/>
    <col min="4" max="4" width="15.1796875" style="1" bestFit="1" customWidth="1"/>
    <col min="5" max="5" width="115.1796875" style="1" customWidth="1"/>
    <col min="6" max="6" width="17.1796875" style="1" customWidth="1"/>
    <col min="7" max="16384" width="10.81640625" style="1"/>
  </cols>
  <sheetData>
    <row r="1" spans="1:6" ht="31.95" customHeight="1">
      <c r="A1" s="33" t="s">
        <v>244</v>
      </c>
      <c r="B1" s="33"/>
      <c r="C1" s="33"/>
      <c r="D1" s="33"/>
    </row>
    <row r="2" spans="1:6" ht="17.399999999999999">
      <c r="A2" s="37" t="s">
        <v>242</v>
      </c>
      <c r="B2" s="37"/>
      <c r="C2" s="37"/>
      <c r="D2" s="17" t="s">
        <v>243</v>
      </c>
      <c r="E2" s="38" t="s">
        <v>286</v>
      </c>
    </row>
    <row r="3" spans="1:6" ht="17.399999999999999">
      <c r="A3" s="31" t="s">
        <v>234</v>
      </c>
      <c r="B3" s="31"/>
      <c r="C3" s="31"/>
      <c r="D3" s="8">
        <v>45918</v>
      </c>
      <c r="E3" s="39">
        <v>46031</v>
      </c>
    </row>
    <row r="4" spans="1:6" ht="17.399999999999999">
      <c r="A4" s="34" t="s">
        <v>238</v>
      </c>
      <c r="B4" s="35"/>
      <c r="C4" s="36"/>
      <c r="D4" s="13" t="s">
        <v>272</v>
      </c>
      <c r="E4" s="40" t="s">
        <v>285</v>
      </c>
    </row>
    <row r="5" spans="1:6" ht="16.05" customHeight="1">
      <c r="A5" s="31" t="s">
        <v>230</v>
      </c>
      <c r="B5" s="31"/>
      <c r="C5" s="31"/>
      <c r="D5" s="9">
        <f xml:space="preserve"> COUNTIF($D$14:$D$119,"Conforme")</f>
        <v>8</v>
      </c>
      <c r="E5" s="41">
        <v>19</v>
      </c>
    </row>
    <row r="6" spans="1:6" ht="17.399999999999999">
      <c r="A6" s="31" t="s">
        <v>231</v>
      </c>
      <c r="B6" s="31"/>
      <c r="C6" s="31"/>
      <c r="D6" s="9">
        <f xml:space="preserve"> COUNTIF($D$14:$D$119,"Non conforme")</f>
        <v>11</v>
      </c>
      <c r="E6" s="41">
        <v>0</v>
      </c>
    </row>
    <row r="7" spans="1:6" ht="17.399999999999999">
      <c r="A7" s="31" t="s">
        <v>237</v>
      </c>
      <c r="B7" s="31"/>
      <c r="C7" s="31"/>
      <c r="D7" s="9">
        <f xml:space="preserve"> COUNTIF($D$14:$D$119,"Non applicable")</f>
        <v>87</v>
      </c>
      <c r="E7" s="41">
        <v>87</v>
      </c>
    </row>
    <row r="8" spans="1:6" ht="17.399999999999999">
      <c r="A8" s="31" t="s">
        <v>232</v>
      </c>
      <c r="B8" s="31"/>
      <c r="C8" s="31"/>
      <c r="D8" s="9">
        <f xml:space="preserve"> COUNTIF($D$14:$D$119,"Dérogé")</f>
        <v>0</v>
      </c>
      <c r="E8" s="41">
        <v>0</v>
      </c>
    </row>
    <row r="9" spans="1:6" ht="17.399999999999999">
      <c r="A9" s="31" t="s">
        <v>233</v>
      </c>
      <c r="B9" s="31"/>
      <c r="C9" s="31"/>
      <c r="D9" s="9">
        <f xml:space="preserve"> COUNTIF($D$14:$D$119,"Non testé")</f>
        <v>0</v>
      </c>
      <c r="E9" s="41">
        <v>0</v>
      </c>
    </row>
    <row r="10" spans="1:6" ht="19.05" customHeight="1">
      <c r="A10" s="23" t="s">
        <v>239</v>
      </c>
      <c r="B10" s="24"/>
      <c r="C10" s="25"/>
      <c r="D10" s="14">
        <f>IF(SUM(D5:D6)&gt;0,D5/SUM(D5:D6),"")</f>
        <v>0.42105263157894735</v>
      </c>
      <c r="E10" s="42">
        <v>1</v>
      </c>
    </row>
    <row r="11" spans="1:6" ht="19.05" customHeight="1">
      <c r="A11" s="23" t="s">
        <v>240</v>
      </c>
      <c r="B11" s="24"/>
      <c r="C11" s="25"/>
      <c r="D11" s="14">
        <f>IF(SUM(D5:D6)&gt;0,1-ROUND(D10,2),"")</f>
        <v>0.58000000000000007</v>
      </c>
      <c r="E11" s="42">
        <v>0</v>
      </c>
    </row>
    <row r="12" spans="1:6">
      <c r="A12" s="7"/>
      <c r="B12" s="7"/>
      <c r="C12" s="7"/>
    </row>
    <row r="13" spans="1:6" ht="17.399999999999999">
      <c r="A13" s="4" t="s">
        <v>0</v>
      </c>
      <c r="B13" s="4" t="s">
        <v>229</v>
      </c>
      <c r="C13" s="4" t="s">
        <v>1</v>
      </c>
      <c r="D13" s="4" t="s">
        <v>227</v>
      </c>
      <c r="E13" s="6" t="s">
        <v>228</v>
      </c>
      <c r="F13" s="15" t="s">
        <v>241</v>
      </c>
    </row>
    <row r="14" spans="1:6" ht="17.399999999999999">
      <c r="A14" s="32" t="s">
        <v>2</v>
      </c>
      <c r="B14" s="2" t="s">
        <v>3</v>
      </c>
      <c r="C14" s="3" t="s">
        <v>4</v>
      </c>
      <c r="D14" s="5" t="s">
        <v>255</v>
      </c>
      <c r="E14" s="11"/>
      <c r="F14" s="16"/>
    </row>
    <row r="15" spans="1:6" ht="30">
      <c r="A15" s="21"/>
      <c r="B15" s="2" t="s">
        <v>5</v>
      </c>
      <c r="C15" s="3" t="s">
        <v>6</v>
      </c>
      <c r="D15" s="5" t="s">
        <v>254</v>
      </c>
      <c r="E15" s="12" t="s">
        <v>256</v>
      </c>
      <c r="F15" s="43" t="s">
        <v>274</v>
      </c>
    </row>
    <row r="16" spans="1:6" ht="30">
      <c r="A16" s="21"/>
      <c r="B16" s="2" t="s">
        <v>7</v>
      </c>
      <c r="C16" s="3" t="s">
        <v>8</v>
      </c>
      <c r="D16" s="5" t="s">
        <v>255</v>
      </c>
      <c r="E16" s="11"/>
      <c r="F16" s="16"/>
    </row>
    <row r="17" spans="1:6" ht="45">
      <c r="A17" s="21"/>
      <c r="B17" s="2" t="s">
        <v>9</v>
      </c>
      <c r="C17" s="3" t="s">
        <v>10</v>
      </c>
      <c r="D17" s="5" t="s">
        <v>255</v>
      </c>
      <c r="E17" s="11"/>
      <c r="F17" s="16"/>
    </row>
    <row r="18" spans="1:6" ht="30">
      <c r="A18" s="21"/>
      <c r="B18" s="2" t="s">
        <v>11</v>
      </c>
      <c r="C18" s="3" t="s">
        <v>12</v>
      </c>
      <c r="D18" s="5" t="s">
        <v>255</v>
      </c>
      <c r="E18" s="11"/>
      <c r="F18" s="16"/>
    </row>
    <row r="19" spans="1:6" ht="30">
      <c r="A19" s="21"/>
      <c r="B19" s="2" t="s">
        <v>13</v>
      </c>
      <c r="C19" s="3" t="s">
        <v>14</v>
      </c>
      <c r="D19" s="5" t="s">
        <v>255</v>
      </c>
      <c r="E19" s="11"/>
      <c r="F19" s="16"/>
    </row>
    <row r="20" spans="1:6" ht="30">
      <c r="A20" s="21"/>
      <c r="B20" s="2" t="s">
        <v>15</v>
      </c>
      <c r="C20" s="3" t="s">
        <v>16</v>
      </c>
      <c r="D20" s="5" t="s">
        <v>255</v>
      </c>
      <c r="E20" s="11"/>
      <c r="F20" s="16"/>
    </row>
    <row r="21" spans="1:6" ht="45">
      <c r="A21" s="21"/>
      <c r="B21" s="2" t="s">
        <v>17</v>
      </c>
      <c r="C21" s="3" t="s">
        <v>18</v>
      </c>
      <c r="D21" s="5" t="s">
        <v>255</v>
      </c>
      <c r="E21" s="11"/>
      <c r="F21" s="16"/>
    </row>
    <row r="22" spans="1:6" ht="30">
      <c r="A22" s="22"/>
      <c r="B22" s="2" t="s">
        <v>19</v>
      </c>
      <c r="C22" s="3" t="s">
        <v>20</v>
      </c>
      <c r="D22" s="5" t="s">
        <v>255</v>
      </c>
      <c r="E22" s="11"/>
      <c r="F22" s="16"/>
    </row>
    <row r="23" spans="1:6" ht="17.399999999999999">
      <c r="A23" s="20" t="s">
        <v>21</v>
      </c>
      <c r="B23" s="2" t="s">
        <v>22</v>
      </c>
      <c r="C23" s="3" t="s">
        <v>23</v>
      </c>
      <c r="D23" s="5" t="s">
        <v>255</v>
      </c>
      <c r="E23" s="11"/>
      <c r="F23" s="16"/>
    </row>
    <row r="24" spans="1:6" ht="30">
      <c r="A24" s="22"/>
      <c r="B24" s="2" t="s">
        <v>24</v>
      </c>
      <c r="C24" s="3" t="s">
        <v>25</v>
      </c>
      <c r="D24" s="5" t="s">
        <v>255</v>
      </c>
      <c r="E24" s="11"/>
      <c r="F24" s="16"/>
    </row>
    <row r="25" spans="1:6" ht="30">
      <c r="A25" s="20" t="s">
        <v>26</v>
      </c>
      <c r="B25" s="2" t="s">
        <v>27</v>
      </c>
      <c r="C25" s="3" t="s">
        <v>28</v>
      </c>
      <c r="D25" s="5" t="s">
        <v>255</v>
      </c>
      <c r="E25" s="11"/>
      <c r="F25" s="16"/>
    </row>
    <row r="26" spans="1:6" ht="180">
      <c r="A26" s="21"/>
      <c r="B26" s="2" t="s">
        <v>29</v>
      </c>
      <c r="C26" s="3" t="s">
        <v>30</v>
      </c>
      <c r="D26" s="5" t="s">
        <v>257</v>
      </c>
      <c r="E26" s="11" t="s">
        <v>269</v>
      </c>
      <c r="F26" s="16"/>
    </row>
    <row r="27" spans="1:6" ht="45">
      <c r="A27" s="22"/>
      <c r="B27" s="2" t="s">
        <v>31</v>
      </c>
      <c r="C27" s="3" t="s">
        <v>32</v>
      </c>
      <c r="D27" s="5" t="s">
        <v>254</v>
      </c>
      <c r="E27" s="11" t="s">
        <v>265</v>
      </c>
      <c r="F27" s="43" t="s">
        <v>275</v>
      </c>
    </row>
    <row r="28" spans="1:6" ht="30">
      <c r="A28" s="20" t="s">
        <v>33</v>
      </c>
      <c r="B28" s="2" t="s">
        <v>34</v>
      </c>
      <c r="C28" s="3" t="s">
        <v>35</v>
      </c>
      <c r="D28" s="5" t="s">
        <v>255</v>
      </c>
      <c r="E28" s="11"/>
      <c r="F28" s="16"/>
    </row>
    <row r="29" spans="1:6" ht="45">
      <c r="A29" s="21"/>
      <c r="B29" s="2" t="s">
        <v>36</v>
      </c>
      <c r="C29" s="3" t="s">
        <v>37</v>
      </c>
      <c r="D29" s="5" t="s">
        <v>255</v>
      </c>
      <c r="E29" s="11"/>
      <c r="F29" s="16"/>
    </row>
    <row r="30" spans="1:6" ht="30">
      <c r="A30" s="21"/>
      <c r="B30" s="2" t="s">
        <v>38</v>
      </c>
      <c r="C30" s="3" t="s">
        <v>39</v>
      </c>
      <c r="D30" s="5" t="s">
        <v>255</v>
      </c>
      <c r="E30" s="11"/>
      <c r="F30" s="16"/>
    </row>
    <row r="31" spans="1:6" ht="30">
      <c r="A31" s="21"/>
      <c r="B31" s="2" t="s">
        <v>40</v>
      </c>
      <c r="C31" s="3" t="s">
        <v>41</v>
      </c>
      <c r="D31" s="5" t="s">
        <v>255</v>
      </c>
      <c r="E31" s="11"/>
      <c r="F31" s="16"/>
    </row>
    <row r="32" spans="1:6" ht="30">
      <c r="A32" s="21"/>
      <c r="B32" s="2" t="s">
        <v>42</v>
      </c>
      <c r="C32" s="3" t="s">
        <v>43</v>
      </c>
      <c r="D32" s="5" t="s">
        <v>255</v>
      </c>
      <c r="E32" s="11"/>
      <c r="F32" s="16"/>
    </row>
    <row r="33" spans="1:6" ht="30">
      <c r="A33" s="21"/>
      <c r="B33" s="2" t="s">
        <v>44</v>
      </c>
      <c r="C33" s="3" t="s">
        <v>45</v>
      </c>
      <c r="D33" s="5" t="s">
        <v>255</v>
      </c>
      <c r="E33" s="11"/>
      <c r="F33" s="16"/>
    </row>
    <row r="34" spans="1:6" ht="30">
      <c r="A34" s="21"/>
      <c r="B34" s="2" t="s">
        <v>46</v>
      </c>
      <c r="C34" s="3" t="s">
        <v>47</v>
      </c>
      <c r="D34" s="5" t="s">
        <v>255</v>
      </c>
      <c r="E34" s="11"/>
      <c r="F34" s="16"/>
    </row>
    <row r="35" spans="1:6" ht="30">
      <c r="A35" s="21"/>
      <c r="B35" s="2" t="s">
        <v>48</v>
      </c>
      <c r="C35" s="3" t="s">
        <v>49</v>
      </c>
      <c r="D35" s="5" t="s">
        <v>255</v>
      </c>
      <c r="E35" s="11"/>
      <c r="F35" s="16"/>
    </row>
    <row r="36" spans="1:6" ht="30">
      <c r="A36" s="21"/>
      <c r="B36" s="2" t="s">
        <v>50</v>
      </c>
      <c r="C36" s="3" t="s">
        <v>51</v>
      </c>
      <c r="D36" s="5" t="s">
        <v>255</v>
      </c>
      <c r="E36" s="11"/>
      <c r="F36" s="16"/>
    </row>
    <row r="37" spans="1:6" ht="30">
      <c r="A37" s="21"/>
      <c r="B37" s="2" t="s">
        <v>52</v>
      </c>
      <c r="C37" s="3" t="s">
        <v>53</v>
      </c>
      <c r="D37" s="5" t="s">
        <v>255</v>
      </c>
      <c r="E37" s="11"/>
      <c r="F37" s="16"/>
    </row>
    <row r="38" spans="1:6" ht="30">
      <c r="A38" s="21"/>
      <c r="B38" s="2" t="s">
        <v>54</v>
      </c>
      <c r="C38" s="3" t="s">
        <v>55</v>
      </c>
      <c r="D38" s="5" t="s">
        <v>255</v>
      </c>
      <c r="E38" s="11"/>
      <c r="F38" s="16"/>
    </row>
    <row r="39" spans="1:6" ht="30">
      <c r="A39" s="21"/>
      <c r="B39" s="2" t="s">
        <v>56</v>
      </c>
      <c r="C39" s="3" t="s">
        <v>57</v>
      </c>
      <c r="D39" s="5" t="s">
        <v>255</v>
      </c>
      <c r="E39" s="11"/>
      <c r="F39" s="16"/>
    </row>
    <row r="40" spans="1:6" ht="30">
      <c r="A40" s="22"/>
      <c r="B40" s="2" t="s">
        <v>58</v>
      </c>
      <c r="C40" s="3" t="s">
        <v>59</v>
      </c>
      <c r="D40" s="5" t="s">
        <v>255</v>
      </c>
      <c r="E40" s="11"/>
      <c r="F40" s="16"/>
    </row>
    <row r="41" spans="1:6" ht="17.399999999999999">
      <c r="A41" s="20" t="s">
        <v>60</v>
      </c>
      <c r="B41" s="2" t="s">
        <v>61</v>
      </c>
      <c r="C41" s="3" t="s">
        <v>62</v>
      </c>
      <c r="D41" s="5" t="s">
        <v>255</v>
      </c>
      <c r="E41" s="11"/>
      <c r="F41" s="16"/>
    </row>
    <row r="42" spans="1:6" ht="30">
      <c r="A42" s="21"/>
      <c r="B42" s="2" t="s">
        <v>63</v>
      </c>
      <c r="C42" s="3" t="s">
        <v>64</v>
      </c>
      <c r="D42" s="5" t="s">
        <v>255</v>
      </c>
      <c r="E42" s="11"/>
      <c r="F42" s="16"/>
    </row>
    <row r="43" spans="1:6" ht="30">
      <c r="A43" s="21"/>
      <c r="B43" s="2" t="s">
        <v>65</v>
      </c>
      <c r="C43" s="3" t="s">
        <v>66</v>
      </c>
      <c r="D43" s="5" t="s">
        <v>255</v>
      </c>
      <c r="E43" s="11"/>
      <c r="F43" s="16"/>
    </row>
    <row r="44" spans="1:6" ht="30">
      <c r="A44" s="21"/>
      <c r="B44" s="2" t="s">
        <v>67</v>
      </c>
      <c r="C44" s="3" t="s">
        <v>68</v>
      </c>
      <c r="D44" s="5" t="s">
        <v>255</v>
      </c>
      <c r="E44" s="11"/>
      <c r="F44" s="16"/>
    </row>
    <row r="45" spans="1:6" ht="17.399999999999999">
      <c r="A45" s="21"/>
      <c r="B45" s="2" t="s">
        <v>69</v>
      </c>
      <c r="C45" s="3" t="s">
        <v>70</v>
      </c>
      <c r="D45" s="5" t="s">
        <v>255</v>
      </c>
      <c r="E45" s="11"/>
      <c r="F45" s="16"/>
    </row>
    <row r="46" spans="1:6" ht="30">
      <c r="A46" s="21"/>
      <c r="B46" s="2" t="s">
        <v>71</v>
      </c>
      <c r="C46" s="3" t="s">
        <v>72</v>
      </c>
      <c r="D46" s="5" t="s">
        <v>255</v>
      </c>
      <c r="E46" s="11"/>
      <c r="F46" s="16"/>
    </row>
    <row r="47" spans="1:6" ht="45">
      <c r="A47" s="21"/>
      <c r="B47" s="2" t="s">
        <v>73</v>
      </c>
      <c r="C47" s="3" t="s">
        <v>74</v>
      </c>
      <c r="D47" s="5" t="s">
        <v>255</v>
      </c>
      <c r="E47" s="11"/>
      <c r="F47" s="16"/>
    </row>
    <row r="48" spans="1:6" ht="30">
      <c r="A48" s="22"/>
      <c r="B48" s="2" t="s">
        <v>75</v>
      </c>
      <c r="C48" s="3" t="s">
        <v>76</v>
      </c>
      <c r="D48" s="5" t="s">
        <v>255</v>
      </c>
      <c r="E48" s="11"/>
      <c r="F48" s="16"/>
    </row>
    <row r="49" spans="1:6" ht="17.399999999999999">
      <c r="A49" s="20" t="s">
        <v>77</v>
      </c>
      <c r="B49" s="2" t="s">
        <v>78</v>
      </c>
      <c r="C49" s="3" t="s">
        <v>79</v>
      </c>
      <c r="D49" s="5" t="s">
        <v>255</v>
      </c>
      <c r="E49" s="11"/>
      <c r="F49" s="16"/>
    </row>
    <row r="50" spans="1:6" ht="17.399999999999999">
      <c r="A50" s="22"/>
      <c r="B50" s="2" t="s">
        <v>80</v>
      </c>
      <c r="C50" s="3" t="s">
        <v>81</v>
      </c>
      <c r="D50" s="5" t="s">
        <v>255</v>
      </c>
      <c r="E50" s="11"/>
      <c r="F50" s="16"/>
    </row>
    <row r="51" spans="1:6" ht="286.2">
      <c r="A51" s="20" t="s">
        <v>82</v>
      </c>
      <c r="B51" s="2" t="s">
        <v>83</v>
      </c>
      <c r="C51" s="3" t="s">
        <v>84</v>
      </c>
      <c r="D51" s="5" t="s">
        <v>254</v>
      </c>
      <c r="E51" s="11" t="s">
        <v>273</v>
      </c>
      <c r="F51" s="44" t="s">
        <v>282</v>
      </c>
    </row>
    <row r="52" spans="1:6" ht="30">
      <c r="A52" s="21"/>
      <c r="B52" s="2" t="s">
        <v>85</v>
      </c>
      <c r="C52" s="3" t="s">
        <v>86</v>
      </c>
      <c r="D52" s="5" t="s">
        <v>255</v>
      </c>
      <c r="E52" s="11"/>
      <c r="F52" s="16"/>
    </row>
    <row r="53" spans="1:6" ht="151.19999999999999">
      <c r="A53" s="21"/>
      <c r="B53" s="2" t="s">
        <v>87</v>
      </c>
      <c r="C53" s="3" t="s">
        <v>88</v>
      </c>
      <c r="D53" s="5" t="s">
        <v>254</v>
      </c>
      <c r="E53" s="12" t="s">
        <v>253</v>
      </c>
      <c r="F53" s="45" t="s">
        <v>276</v>
      </c>
    </row>
    <row r="54" spans="1:6" ht="30">
      <c r="A54" s="21"/>
      <c r="B54" s="2" t="s">
        <v>89</v>
      </c>
      <c r="C54" s="3" t="s">
        <v>90</v>
      </c>
      <c r="D54" s="5" t="s">
        <v>255</v>
      </c>
      <c r="E54" s="11"/>
      <c r="F54" s="16"/>
    </row>
    <row r="55" spans="1:6" ht="90">
      <c r="A55" s="22"/>
      <c r="B55" s="2" t="s">
        <v>91</v>
      </c>
      <c r="C55" s="3" t="s">
        <v>92</v>
      </c>
      <c r="D55" s="5" t="s">
        <v>254</v>
      </c>
      <c r="E55" s="11" t="s">
        <v>251</v>
      </c>
      <c r="F55" s="44" t="s">
        <v>277</v>
      </c>
    </row>
    <row r="56" spans="1:6" ht="17.399999999999999">
      <c r="A56" s="20" t="s">
        <v>93</v>
      </c>
      <c r="B56" s="2" t="s">
        <v>94</v>
      </c>
      <c r="C56" s="3" t="s">
        <v>95</v>
      </c>
      <c r="D56" s="5" t="s">
        <v>255</v>
      </c>
      <c r="E56" s="11"/>
      <c r="F56" s="16"/>
    </row>
    <row r="57" spans="1:6" ht="45">
      <c r="A57" s="21"/>
      <c r="B57" s="2" t="s">
        <v>96</v>
      </c>
      <c r="C57" s="3" t="s">
        <v>97</v>
      </c>
      <c r="D57" s="5" t="s">
        <v>254</v>
      </c>
      <c r="E57" s="11" t="s">
        <v>258</v>
      </c>
      <c r="F57" s="44" t="s">
        <v>284</v>
      </c>
    </row>
    <row r="58" spans="1:6" ht="17.399999999999999">
      <c r="A58" s="21"/>
      <c r="B58" s="2" t="s">
        <v>98</v>
      </c>
      <c r="C58" s="3" t="s">
        <v>99</v>
      </c>
      <c r="D58" s="5" t="s">
        <v>255</v>
      </c>
      <c r="E58" s="11"/>
      <c r="F58" s="16"/>
    </row>
    <row r="59" spans="1:6" ht="30">
      <c r="A59" s="21"/>
      <c r="B59" s="2" t="s">
        <v>100</v>
      </c>
      <c r="C59" s="3" t="s">
        <v>101</v>
      </c>
      <c r="D59" s="5" t="s">
        <v>255</v>
      </c>
      <c r="E59" s="11"/>
      <c r="F59" s="16"/>
    </row>
    <row r="60" spans="1:6" ht="17.399999999999999">
      <c r="A60" s="21"/>
      <c r="B60" s="2" t="s">
        <v>102</v>
      </c>
      <c r="C60" s="3" t="s">
        <v>103</v>
      </c>
      <c r="D60" s="5" t="s">
        <v>255</v>
      </c>
      <c r="E60" s="11"/>
      <c r="F60" s="16"/>
    </row>
    <row r="61" spans="1:6" ht="17.399999999999999">
      <c r="A61" s="21"/>
      <c r="B61" s="2" t="s">
        <v>104</v>
      </c>
      <c r="C61" s="3" t="s">
        <v>105</v>
      </c>
      <c r="D61" s="5" t="s">
        <v>255</v>
      </c>
      <c r="E61" s="11"/>
      <c r="F61" s="16"/>
    </row>
    <row r="62" spans="1:6" ht="30">
      <c r="A62" s="21"/>
      <c r="B62" s="2" t="s">
        <v>106</v>
      </c>
      <c r="C62" s="3" t="s">
        <v>107</v>
      </c>
      <c r="D62" s="5" t="s">
        <v>255</v>
      </c>
      <c r="E62" s="11"/>
      <c r="F62" s="16"/>
    </row>
    <row r="63" spans="1:6" ht="30">
      <c r="A63" s="21"/>
      <c r="B63" s="2" t="s">
        <v>108</v>
      </c>
      <c r="C63" s="3" t="s">
        <v>109</v>
      </c>
      <c r="D63" s="5" t="s">
        <v>255</v>
      </c>
      <c r="E63" s="11"/>
      <c r="F63" s="16"/>
    </row>
    <row r="64" spans="1:6" ht="30">
      <c r="A64" s="21"/>
      <c r="B64" s="2" t="s">
        <v>110</v>
      </c>
      <c r="C64" s="3" t="s">
        <v>111</v>
      </c>
      <c r="D64" s="5" t="s">
        <v>255</v>
      </c>
      <c r="E64" s="11"/>
      <c r="F64" s="16"/>
    </row>
    <row r="65" spans="1:6" ht="30">
      <c r="A65" s="22"/>
      <c r="B65" s="2" t="s">
        <v>112</v>
      </c>
      <c r="C65" s="3" t="s">
        <v>113</v>
      </c>
      <c r="D65" s="5" t="s">
        <v>255</v>
      </c>
      <c r="E65" s="11"/>
      <c r="F65" s="16"/>
    </row>
    <row r="66" spans="1:6" ht="30">
      <c r="A66" s="20" t="s">
        <v>114</v>
      </c>
      <c r="B66" s="2" t="s">
        <v>115</v>
      </c>
      <c r="C66" s="3" t="s">
        <v>116</v>
      </c>
      <c r="D66" s="5" t="s">
        <v>255</v>
      </c>
      <c r="E66" s="11"/>
      <c r="F66" s="16"/>
    </row>
    <row r="67" spans="1:6" ht="30">
      <c r="A67" s="21"/>
      <c r="B67" s="2" t="s">
        <v>117</v>
      </c>
      <c r="C67" s="3" t="s">
        <v>118</v>
      </c>
      <c r="D67" s="5" t="s">
        <v>254</v>
      </c>
      <c r="E67" s="11" t="s">
        <v>259</v>
      </c>
      <c r="F67" s="44" t="s">
        <v>278</v>
      </c>
    </row>
    <row r="68" spans="1:6" ht="45">
      <c r="A68" s="21"/>
      <c r="B68" s="2" t="s">
        <v>119</v>
      </c>
      <c r="C68" s="3" t="s">
        <v>120</v>
      </c>
      <c r="D68" s="5" t="s">
        <v>254</v>
      </c>
      <c r="E68" s="12" t="s">
        <v>250</v>
      </c>
      <c r="F68" s="44" t="s">
        <v>283</v>
      </c>
    </row>
    <row r="69" spans="1:6" ht="17.399999999999999">
      <c r="A69" s="22"/>
      <c r="B69" s="2" t="s">
        <v>121</v>
      </c>
      <c r="C69" s="3" t="s">
        <v>122</v>
      </c>
      <c r="D69" s="5" t="s">
        <v>255</v>
      </c>
      <c r="E69" s="11"/>
      <c r="F69" s="16"/>
    </row>
    <row r="70" spans="1:6" ht="60">
      <c r="A70" s="20" t="s">
        <v>123</v>
      </c>
      <c r="B70" s="2" t="s">
        <v>124</v>
      </c>
      <c r="C70" s="3" t="s">
        <v>125</v>
      </c>
      <c r="D70" s="5" t="s">
        <v>254</v>
      </c>
      <c r="E70" s="11" t="s">
        <v>260</v>
      </c>
      <c r="F70" s="44" t="s">
        <v>279</v>
      </c>
    </row>
    <row r="71" spans="1:6" ht="30">
      <c r="A71" s="21"/>
      <c r="B71" s="2" t="s">
        <v>126</v>
      </c>
      <c r="C71" s="3" t="s">
        <v>127</v>
      </c>
      <c r="D71" s="5" t="s">
        <v>257</v>
      </c>
      <c r="E71" s="18" t="s">
        <v>261</v>
      </c>
      <c r="F71" s="16"/>
    </row>
    <row r="72" spans="1:6" ht="30">
      <c r="A72" s="21"/>
      <c r="B72" s="2" t="s">
        <v>128</v>
      </c>
      <c r="C72" s="3" t="s">
        <v>129</v>
      </c>
      <c r="D72" s="5" t="s">
        <v>257</v>
      </c>
      <c r="E72" s="19" t="s">
        <v>262</v>
      </c>
      <c r="F72" s="16"/>
    </row>
    <row r="73" spans="1:6" ht="45">
      <c r="A73" s="21"/>
      <c r="B73" s="2" t="s">
        <v>130</v>
      </c>
      <c r="C73" s="3" t="s">
        <v>131</v>
      </c>
      <c r="D73" s="5" t="s">
        <v>257</v>
      </c>
      <c r="E73" s="19" t="s">
        <v>263</v>
      </c>
      <c r="F73" s="16"/>
    </row>
    <row r="74" spans="1:6" ht="30">
      <c r="A74" s="21"/>
      <c r="B74" s="2" t="s">
        <v>132</v>
      </c>
      <c r="C74" s="3" t="s">
        <v>133</v>
      </c>
      <c r="D74" s="5" t="s">
        <v>257</v>
      </c>
      <c r="E74" s="11" t="s">
        <v>264</v>
      </c>
      <c r="F74" s="16"/>
    </row>
    <row r="75" spans="1:6" ht="30">
      <c r="A75" s="21"/>
      <c r="B75" s="2" t="s">
        <v>134</v>
      </c>
      <c r="C75" s="3" t="s">
        <v>135</v>
      </c>
      <c r="D75" s="5" t="s">
        <v>255</v>
      </c>
      <c r="E75" s="11"/>
      <c r="F75" s="16"/>
    </row>
    <row r="76" spans="1:6" ht="30">
      <c r="A76" s="21"/>
      <c r="B76" s="2" t="s">
        <v>136</v>
      </c>
      <c r="C76" s="3" t="s">
        <v>137</v>
      </c>
      <c r="D76" s="5" t="s">
        <v>254</v>
      </c>
      <c r="E76" s="11" t="s">
        <v>266</v>
      </c>
      <c r="F76" s="44" t="s">
        <v>280</v>
      </c>
    </row>
    <row r="77" spans="1:6" ht="30">
      <c r="A77" s="21"/>
      <c r="B77" s="2" t="s">
        <v>138</v>
      </c>
      <c r="C77" s="3" t="s">
        <v>139</v>
      </c>
      <c r="D77" s="5" t="s">
        <v>255</v>
      </c>
      <c r="E77" s="11"/>
      <c r="F77" s="16"/>
    </row>
    <row r="78" spans="1:6" ht="30">
      <c r="A78" s="21"/>
      <c r="B78" s="2" t="s">
        <v>140</v>
      </c>
      <c r="C78" s="3" t="s">
        <v>141</v>
      </c>
      <c r="D78" s="5" t="s">
        <v>255</v>
      </c>
      <c r="E78" s="11"/>
      <c r="F78" s="16"/>
    </row>
    <row r="79" spans="1:6" ht="45">
      <c r="A79" s="21"/>
      <c r="B79" s="2" t="s">
        <v>142</v>
      </c>
      <c r="C79" s="3" t="s">
        <v>143</v>
      </c>
      <c r="D79" s="5" t="s">
        <v>255</v>
      </c>
      <c r="E79" s="11"/>
      <c r="F79" s="16"/>
    </row>
    <row r="80" spans="1:6" ht="75">
      <c r="A80" s="21"/>
      <c r="B80" s="2" t="s">
        <v>144</v>
      </c>
      <c r="C80" s="3" t="s">
        <v>145</v>
      </c>
      <c r="D80" s="5" t="s">
        <v>254</v>
      </c>
      <c r="E80" s="11" t="s">
        <v>267</v>
      </c>
      <c r="F80" s="44" t="s">
        <v>281</v>
      </c>
    </row>
    <row r="81" spans="1:6" ht="105">
      <c r="A81" s="21"/>
      <c r="B81" s="2" t="s">
        <v>146</v>
      </c>
      <c r="C81" s="3" t="s">
        <v>147</v>
      </c>
      <c r="D81" s="5" t="s">
        <v>257</v>
      </c>
      <c r="E81" s="11" t="s">
        <v>268</v>
      </c>
      <c r="F81" s="16"/>
    </row>
    <row r="82" spans="1:6" ht="45">
      <c r="A82" s="21"/>
      <c r="B82" s="2" t="s">
        <v>148</v>
      </c>
      <c r="C82" s="3" t="s">
        <v>149</v>
      </c>
      <c r="D82" s="5" t="s">
        <v>255</v>
      </c>
      <c r="E82" s="11"/>
      <c r="F82" s="16"/>
    </row>
    <row r="83" spans="1:6" ht="45">
      <c r="A83" s="22"/>
      <c r="B83" s="2" t="s">
        <v>150</v>
      </c>
      <c r="C83" s="3" t="s">
        <v>151</v>
      </c>
      <c r="D83" s="5" t="s">
        <v>255</v>
      </c>
      <c r="E83" s="11"/>
      <c r="F83" s="16"/>
    </row>
    <row r="84" spans="1:6" ht="17.399999999999999">
      <c r="A84" s="20" t="s">
        <v>152</v>
      </c>
      <c r="B84" s="2" t="s">
        <v>153</v>
      </c>
      <c r="C84" s="3" t="s">
        <v>154</v>
      </c>
      <c r="D84" s="5" t="s">
        <v>255</v>
      </c>
      <c r="E84" s="11"/>
      <c r="F84" s="16"/>
    </row>
    <row r="85" spans="1:6" ht="30">
      <c r="A85" s="21"/>
      <c r="B85" s="2" t="s">
        <v>155</v>
      </c>
      <c r="C85" s="3" t="s">
        <v>156</v>
      </c>
      <c r="D85" s="5" t="s">
        <v>255</v>
      </c>
      <c r="E85" s="11"/>
      <c r="F85" s="16"/>
    </row>
    <row r="86" spans="1:6" ht="45">
      <c r="A86" s="21"/>
      <c r="B86" s="2" t="s">
        <v>157</v>
      </c>
      <c r="C86" s="3" t="s">
        <v>158</v>
      </c>
      <c r="D86" s="5" t="s">
        <v>255</v>
      </c>
      <c r="E86" s="11"/>
      <c r="F86" s="16"/>
    </row>
    <row r="87" spans="1:6" ht="30">
      <c r="A87" s="21"/>
      <c r="B87" s="2" t="s">
        <v>159</v>
      </c>
      <c r="C87" s="3" t="s">
        <v>160</v>
      </c>
      <c r="D87" s="5" t="s">
        <v>255</v>
      </c>
      <c r="E87" s="11"/>
      <c r="F87" s="16"/>
    </row>
    <row r="88" spans="1:6" ht="30">
      <c r="A88" s="21"/>
      <c r="B88" s="2" t="s">
        <v>161</v>
      </c>
      <c r="C88" s="3" t="s">
        <v>162</v>
      </c>
      <c r="D88" s="5" t="s">
        <v>255</v>
      </c>
      <c r="E88" s="11"/>
      <c r="F88" s="16"/>
    </row>
    <row r="89" spans="1:6" ht="30">
      <c r="A89" s="21"/>
      <c r="B89" s="2" t="s">
        <v>163</v>
      </c>
      <c r="C89" s="3" t="s">
        <v>164</v>
      </c>
      <c r="D89" s="5" t="s">
        <v>255</v>
      </c>
      <c r="E89" s="11"/>
      <c r="F89" s="16"/>
    </row>
    <row r="90" spans="1:6" ht="30">
      <c r="A90" s="21"/>
      <c r="B90" s="2" t="s">
        <v>165</v>
      </c>
      <c r="C90" s="3" t="s">
        <v>166</v>
      </c>
      <c r="D90" s="5" t="s">
        <v>255</v>
      </c>
      <c r="E90" s="11"/>
      <c r="F90" s="16"/>
    </row>
    <row r="91" spans="1:6" ht="30">
      <c r="A91" s="21"/>
      <c r="B91" s="2" t="s">
        <v>167</v>
      </c>
      <c r="C91" s="3" t="s">
        <v>168</v>
      </c>
      <c r="D91" s="5" t="s">
        <v>255</v>
      </c>
      <c r="E91" s="11"/>
      <c r="F91" s="16"/>
    </row>
    <row r="92" spans="1:6" ht="30">
      <c r="A92" s="21"/>
      <c r="B92" s="2" t="s">
        <v>169</v>
      </c>
      <c r="C92" s="3" t="s">
        <v>170</v>
      </c>
      <c r="D92" s="5" t="s">
        <v>255</v>
      </c>
      <c r="E92" s="11"/>
      <c r="F92" s="16"/>
    </row>
    <row r="93" spans="1:6" ht="30">
      <c r="A93" s="21"/>
      <c r="B93" s="2" t="s">
        <v>171</v>
      </c>
      <c r="C93" s="3" t="s">
        <v>172</v>
      </c>
      <c r="D93" s="5" t="s">
        <v>255</v>
      </c>
      <c r="E93" s="11"/>
      <c r="F93" s="16"/>
    </row>
    <row r="94" spans="1:6" ht="30">
      <c r="A94" s="21"/>
      <c r="B94" s="2" t="s">
        <v>173</v>
      </c>
      <c r="C94" s="3" t="s">
        <v>174</v>
      </c>
      <c r="D94" s="5" t="s">
        <v>255</v>
      </c>
      <c r="E94" s="11"/>
      <c r="F94" s="16"/>
    </row>
    <row r="95" spans="1:6" ht="60">
      <c r="A95" s="21"/>
      <c r="B95" s="2" t="s">
        <v>175</v>
      </c>
      <c r="C95" s="3" t="s">
        <v>176</v>
      </c>
      <c r="D95" s="5" t="s">
        <v>255</v>
      </c>
      <c r="E95" s="11"/>
      <c r="F95" s="16"/>
    </row>
    <row r="96" spans="1:6" ht="30">
      <c r="A96" s="22"/>
      <c r="B96" s="2" t="s">
        <v>177</v>
      </c>
      <c r="C96" s="3" t="s">
        <v>178</v>
      </c>
      <c r="D96" s="5" t="s">
        <v>255</v>
      </c>
      <c r="E96" s="11"/>
      <c r="F96" s="16"/>
    </row>
    <row r="97" spans="1:6" ht="30">
      <c r="A97" s="20" t="s">
        <v>179</v>
      </c>
      <c r="B97" s="2" t="s">
        <v>180</v>
      </c>
      <c r="C97" s="3" t="s">
        <v>181</v>
      </c>
      <c r="D97" s="5" t="s">
        <v>255</v>
      </c>
      <c r="E97" s="11"/>
      <c r="F97" s="16"/>
    </row>
    <row r="98" spans="1:6" ht="30">
      <c r="A98" s="21"/>
      <c r="B98" s="2" t="s">
        <v>182</v>
      </c>
      <c r="C98" s="3" t="s">
        <v>183</v>
      </c>
      <c r="D98" s="5" t="s">
        <v>255</v>
      </c>
      <c r="E98" s="11"/>
      <c r="F98" s="16"/>
    </row>
    <row r="99" spans="1:6" ht="17.399999999999999">
      <c r="A99" s="21"/>
      <c r="B99" s="2" t="s">
        <v>184</v>
      </c>
      <c r="C99" s="3" t="s">
        <v>185</v>
      </c>
      <c r="D99" s="5" t="s">
        <v>255</v>
      </c>
      <c r="E99" s="11"/>
      <c r="F99" s="16"/>
    </row>
    <row r="100" spans="1:6" ht="30">
      <c r="A100" s="21"/>
      <c r="B100" s="2" t="s">
        <v>186</v>
      </c>
      <c r="C100" s="3" t="s">
        <v>187</v>
      </c>
      <c r="D100" s="5" t="s">
        <v>255</v>
      </c>
      <c r="E100" s="11"/>
      <c r="F100" s="16"/>
    </row>
    <row r="101" spans="1:6" ht="30">
      <c r="A101" s="21"/>
      <c r="B101" s="2" t="s">
        <v>188</v>
      </c>
      <c r="C101" s="3" t="s">
        <v>189</v>
      </c>
      <c r="D101" s="5" t="s">
        <v>255</v>
      </c>
      <c r="E101" s="11"/>
      <c r="F101" s="16"/>
    </row>
    <row r="102" spans="1:6" ht="60">
      <c r="A102" s="21"/>
      <c r="B102" s="2" t="s">
        <v>190</v>
      </c>
      <c r="C102" s="3" t="s">
        <v>191</v>
      </c>
      <c r="D102" s="5" t="s">
        <v>255</v>
      </c>
      <c r="E102" s="11"/>
      <c r="F102" s="16"/>
    </row>
    <row r="103" spans="1:6" ht="30">
      <c r="A103" s="21"/>
      <c r="B103" s="2" t="s">
        <v>192</v>
      </c>
      <c r="C103" s="3" t="s">
        <v>193</v>
      </c>
      <c r="D103" s="5" t="s">
        <v>255</v>
      </c>
      <c r="E103" s="11"/>
      <c r="F103" s="16"/>
    </row>
    <row r="104" spans="1:6" ht="17.399999999999999">
      <c r="A104" s="21"/>
      <c r="B104" s="2" t="s">
        <v>194</v>
      </c>
      <c r="C104" s="3" t="s">
        <v>195</v>
      </c>
      <c r="D104" s="5" t="s">
        <v>257</v>
      </c>
      <c r="E104" s="11" t="s">
        <v>270</v>
      </c>
      <c r="F104" s="16"/>
    </row>
    <row r="105" spans="1:6" ht="30">
      <c r="A105" s="21"/>
      <c r="B105" s="2" t="s">
        <v>196</v>
      </c>
      <c r="C105" s="3" t="s">
        <v>197</v>
      </c>
      <c r="D105" s="5" t="s">
        <v>257</v>
      </c>
      <c r="E105" s="11" t="s">
        <v>271</v>
      </c>
      <c r="F105" s="16"/>
    </row>
    <row r="106" spans="1:6" ht="45">
      <c r="A106" s="21"/>
      <c r="B106" s="2" t="s">
        <v>198</v>
      </c>
      <c r="C106" s="3" t="s">
        <v>199</v>
      </c>
      <c r="D106" s="5" t="s">
        <v>255</v>
      </c>
      <c r="E106" s="11"/>
      <c r="F106" s="16"/>
    </row>
    <row r="107" spans="1:6" ht="45">
      <c r="A107" s="22"/>
      <c r="B107" s="2" t="s">
        <v>200</v>
      </c>
      <c r="C107" s="3" t="s">
        <v>201</v>
      </c>
      <c r="D107" s="5" t="s">
        <v>255</v>
      </c>
      <c r="E107" s="11"/>
      <c r="F107" s="16"/>
    </row>
    <row r="108" spans="1:6" ht="30">
      <c r="A108" s="20" t="s">
        <v>202</v>
      </c>
      <c r="B108" s="2" t="s">
        <v>203</v>
      </c>
      <c r="C108" s="3" t="s">
        <v>204</v>
      </c>
      <c r="D108" s="5" t="s">
        <v>255</v>
      </c>
      <c r="E108" s="11"/>
      <c r="F108" s="16"/>
    </row>
    <row r="109" spans="1:6" ht="45">
      <c r="A109" s="21"/>
      <c r="B109" s="2" t="s">
        <v>205</v>
      </c>
      <c r="C109" s="3" t="s">
        <v>206</v>
      </c>
      <c r="D109" s="5" t="s">
        <v>255</v>
      </c>
      <c r="E109" s="11"/>
      <c r="F109" s="16"/>
    </row>
    <row r="110" spans="1:6" ht="45">
      <c r="A110" s="21"/>
      <c r="B110" s="2" t="s">
        <v>207</v>
      </c>
      <c r="C110" s="3" t="s">
        <v>208</v>
      </c>
      <c r="D110" s="5" t="s">
        <v>255</v>
      </c>
      <c r="E110" s="11"/>
      <c r="F110" s="16"/>
    </row>
    <row r="111" spans="1:6" ht="30">
      <c r="A111" s="21"/>
      <c r="B111" s="2" t="s">
        <v>209</v>
      </c>
      <c r="C111" s="3" t="s">
        <v>210</v>
      </c>
      <c r="D111" s="5" t="s">
        <v>255</v>
      </c>
      <c r="E111" s="11"/>
      <c r="F111" s="16"/>
    </row>
    <row r="112" spans="1:6" ht="30">
      <c r="A112" s="21"/>
      <c r="B112" s="2" t="s">
        <v>211</v>
      </c>
      <c r="C112" s="3" t="s">
        <v>212</v>
      </c>
      <c r="D112" s="5" t="s">
        <v>255</v>
      </c>
      <c r="E112" s="11"/>
      <c r="F112" s="16"/>
    </row>
    <row r="113" spans="1:6" ht="45">
      <c r="A113" s="21"/>
      <c r="B113" s="2" t="s">
        <v>213</v>
      </c>
      <c r="C113" s="3" t="s">
        <v>214</v>
      </c>
      <c r="D113" s="5" t="s">
        <v>255</v>
      </c>
      <c r="E113" s="11"/>
      <c r="F113" s="16"/>
    </row>
    <row r="114" spans="1:6" ht="30">
      <c r="A114" s="21"/>
      <c r="B114" s="2" t="s">
        <v>215</v>
      </c>
      <c r="C114" s="3" t="s">
        <v>216</v>
      </c>
      <c r="D114" s="5" t="s">
        <v>255</v>
      </c>
      <c r="E114" s="11"/>
      <c r="F114" s="16"/>
    </row>
    <row r="115" spans="1:6" ht="30">
      <c r="A115" s="21"/>
      <c r="B115" s="2" t="s">
        <v>217</v>
      </c>
      <c r="C115" s="3" t="s">
        <v>218</v>
      </c>
      <c r="D115" s="5" t="s">
        <v>255</v>
      </c>
      <c r="E115" s="11"/>
      <c r="F115" s="16"/>
    </row>
    <row r="116" spans="1:6" ht="30">
      <c r="A116" s="21"/>
      <c r="B116" s="2" t="s">
        <v>219</v>
      </c>
      <c r="C116" s="3" t="s">
        <v>220</v>
      </c>
      <c r="D116" s="5" t="s">
        <v>255</v>
      </c>
      <c r="E116" s="11"/>
      <c r="F116" s="16"/>
    </row>
    <row r="117" spans="1:6" ht="45">
      <c r="A117" s="21"/>
      <c r="B117" s="2" t="s">
        <v>221</v>
      </c>
      <c r="C117" s="3" t="s">
        <v>222</v>
      </c>
      <c r="D117" s="5" t="s">
        <v>255</v>
      </c>
      <c r="E117" s="11"/>
      <c r="F117" s="16"/>
    </row>
    <row r="118" spans="1:6" ht="45">
      <c r="A118" s="21"/>
      <c r="B118" s="2" t="s">
        <v>223</v>
      </c>
      <c r="C118" s="3" t="s">
        <v>224</v>
      </c>
      <c r="D118" s="5" t="s">
        <v>255</v>
      </c>
      <c r="E118" s="11"/>
      <c r="F118" s="16"/>
    </row>
    <row r="119" spans="1:6" ht="45">
      <c r="A119" s="22"/>
      <c r="B119" s="2" t="s">
        <v>225</v>
      </c>
      <c r="C119" s="3" t="s">
        <v>226</v>
      </c>
      <c r="D119" s="5" t="s">
        <v>255</v>
      </c>
      <c r="E119" s="11"/>
      <c r="F119" s="16"/>
    </row>
    <row r="123" spans="1:6">
      <c r="A123" s="29" t="s">
        <v>235</v>
      </c>
      <c r="B123" s="29"/>
      <c r="C123" s="29"/>
      <c r="D123" s="29"/>
      <c r="E123" s="10" t="s">
        <v>236</v>
      </c>
    </row>
    <row r="124" spans="1:6" ht="60">
      <c r="A124" s="30" t="s">
        <v>252</v>
      </c>
      <c r="B124" s="30"/>
      <c r="C124" s="30"/>
      <c r="D124" s="30"/>
      <c r="E124" s="12" t="s">
        <v>249</v>
      </c>
    </row>
    <row r="125" spans="1:6" ht="100.05" customHeight="1">
      <c r="A125" s="26" t="s">
        <v>245</v>
      </c>
      <c r="B125" s="27"/>
      <c r="C125" s="27"/>
      <c r="D125" s="28"/>
      <c r="E125" s="12" t="s">
        <v>248</v>
      </c>
    </row>
    <row r="126" spans="1:6" ht="294" customHeight="1">
      <c r="A126" s="26" t="s">
        <v>246</v>
      </c>
      <c r="B126" s="27"/>
      <c r="C126" s="27"/>
      <c r="D126" s="28"/>
      <c r="E126" s="12" t="s">
        <v>248</v>
      </c>
    </row>
    <row r="127" spans="1:6" ht="118.05" customHeight="1">
      <c r="A127" s="26" t="s">
        <v>247</v>
      </c>
      <c r="B127" s="27"/>
      <c r="C127" s="27"/>
      <c r="D127" s="28"/>
      <c r="E127" s="12" t="s">
        <v>248</v>
      </c>
    </row>
  </sheetData>
  <mergeCells count="29">
    <mergeCell ref="A1:D1"/>
    <mergeCell ref="A5:C5"/>
    <mergeCell ref="A6:C6"/>
    <mergeCell ref="A8:C8"/>
    <mergeCell ref="A9:C9"/>
    <mergeCell ref="A3:C3"/>
    <mergeCell ref="A4:C4"/>
    <mergeCell ref="A2:C2"/>
    <mergeCell ref="A10:C10"/>
    <mergeCell ref="A7:C7"/>
    <mergeCell ref="A14:A22"/>
    <mergeCell ref="A23:A24"/>
    <mergeCell ref="A25:A27"/>
    <mergeCell ref="A28:A40"/>
    <mergeCell ref="A11:C11"/>
    <mergeCell ref="A127:D127"/>
    <mergeCell ref="A125:D125"/>
    <mergeCell ref="A126:D126"/>
    <mergeCell ref="A41:A48"/>
    <mergeCell ref="A123:D123"/>
    <mergeCell ref="A124:D124"/>
    <mergeCell ref="A97:A107"/>
    <mergeCell ref="A108:A119"/>
    <mergeCell ref="A49:A50"/>
    <mergeCell ref="A51:A55"/>
    <mergeCell ref="A56:A65"/>
    <mergeCell ref="A66:A69"/>
    <mergeCell ref="A70:A83"/>
    <mergeCell ref="A84:A96"/>
  </mergeCells>
  <conditionalFormatting sqref="D14:E70 D71:D73 D74:E119">
    <cfRule type="expression" dxfId="6" priority="4">
      <formula>$D14="Non testé"</formula>
    </cfRule>
    <cfRule type="expression" dxfId="5" priority="5">
      <formula>$D14="Dérogé"</formula>
    </cfRule>
    <cfRule type="expression" dxfId="4" priority="6">
      <formula>$D14="Conforme"</formula>
    </cfRule>
    <cfRule type="expression" dxfId="3" priority="7">
      <formula>$D14="Non conforme"</formula>
    </cfRule>
  </conditionalFormatting>
  <conditionalFormatting sqref="E71:E73">
    <cfRule type="expression" dxfId="2" priority="1">
      <formula>$D71="Non testé"</formula>
    </cfRule>
    <cfRule type="expression" dxfId="1" priority="2">
      <formula>$D71="Conforme"</formula>
    </cfRule>
    <cfRule type="expression" dxfId="0" priority="3">
      <formula>$D71="Non conforme"</formula>
    </cfRule>
  </conditionalFormatting>
  <dataValidations count="2">
    <dataValidation type="list" allowBlank="1" showInputMessage="1" showErrorMessage="1" sqref="D14:D119">
      <formula1>"Conforme,Non conforme,Non applicable,Dérogé,Non testé"</formula1>
    </dataValidation>
    <dataValidation allowBlank="1" showInputMessage="1" showErrorMessage="1" prompt="Format JJ/MM/AAAA" sqref="D3"/>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FilterSideBar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CHARRIER ADRIEN (CNAM / Lyon)</cp:lastModifiedBy>
  <dcterms:created xsi:type="dcterms:W3CDTF">2025-03-05T16:22:31Z</dcterms:created>
  <dcterms:modified xsi:type="dcterms:W3CDTF">2026-01-09T09:28:54Z</dcterms:modified>
</cp:coreProperties>
</file>
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HARRIER-32221\Downloads\"/>
    </mc:Choice>
  </mc:AlternateContent>
  <xr:revisionPtr revIDLastSave="0" documentId="8_{256C65E3-4EA7-44F7-91DB-B570F599E897}" xr6:coauthVersionLast="47" xr6:coauthVersionMax="47" xr10:uidLastSave="{00000000-0000-0000-0000-000000000000}"/>
  <bookViews>
    <workbookView xWindow="-108" yWindow="-108" windowWidth="23256" windowHeight="13896" xr2:uid="{00000000-000D-0000-FFFF-FFFF00000000}"/>
  </bookViews>
  <sheets>
    <sheet name="SyCheckbox" sheetId="2"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<sst xmlns="http://schemas.openxmlformats.org/spreadsheetml/2006/main" count="393" uniqueCount="289">
  <si>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</si>
  <si>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</si>
  <si>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</si>
  <si>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</si>
  <si>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</si>
  <si>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</si>
  <si>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</si>
  <si>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</si>
  <si>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</si>
  <si>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</si>
  <si>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</si>
  <si>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</si>
  <si>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</si>
  <si>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</si>
  <si>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</si>
  <si>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</si>
  <si>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</si>
  <si>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</si>
  <si>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</si>
  <si>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</si>
  <si>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</si>
  <si>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</si>
  <si>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</si>
  <si>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</si>
  <si>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</si>
  <si>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</si>
  <si>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</si>
  <si>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</si>
  <si>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</si>
  <si>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</si>
  <si>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</si>
  <si>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</si>
  <si>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</si>
  <si>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</si>
  <si>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</si>
  <si>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</si>
  <si>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</si>
  <si>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</si>
  <si>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</si>
  <si>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</si>
  <si>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</si>
  <si>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</si>
  <si>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</si>
  <si>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</si>
  <si>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</si>
  <si>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</si>
  <si>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</si>
  <si>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</si>
  <si>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</si>
  <si>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</si>
  <si>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</si>
  <si>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</si>
  <si>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</si>
  <si>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</si>
  <si>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</si>
  <si>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</si>
  <si>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</si>
  <si>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</si>
  <si>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</si>
  <si>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</si>
  <si>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</si>
  <si>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</si>
  <si>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</si>
  <si>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</si>
  <si>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</si>
  <si>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</si>
  <si>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</si>
  <si>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</si>
  <si>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</si>
  <si>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</si>
  <si>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</si>
  <si>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</si>
  <si>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</si>
  <si>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</si>
  <si>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</si>
  <si>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</si>
  <si>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</si>
  <si>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</si>
  <si>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</si>
  <si>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</si>
  <si>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</si>
  <si>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</si>
  <si>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</si>
  <si>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</si>
  <si>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</si>
  <si>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</si>
  <si>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</si>
  <si>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</si>
  <si>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</si>
  <si>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</si>
  <si>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</si>
  <si>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</si>
  <si>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</si>
  <si>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</si>
  <si>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</si>
  <si>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</si>
  <si>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</si>
  <si>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</si>
  <si>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</si>
  <si>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</si>
  <si>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</si>
  <si>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</si>
  <si>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</si>
  <si>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</si>
  <si>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</si>
  <si>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</si>
  <si>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</si>
  <si>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</si>
  <si>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</si>
  <si>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</si>
  <si>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</si>
  <si>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</si>
  <si>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</si>
  <si>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</si>
  <si>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</si>
  <si>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</si>
  <si>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</si>
  <si>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</si>
  <si>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</si>
  <si>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</si>
  <si>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</si>
  <si>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</si>
  <si>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</si>
  <si>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</si>
  <si>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</si>
  <si>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</si>
  <si>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</si>
  <si>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</si>
  <si>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</si>
  <si>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</si>
  <si>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</si>
  <si>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</si>
  <si>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</si>
  <si>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</si>
  <si>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</si>
  <si>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</si>
  <si>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</si>
  <si>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</si>
  <si>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</si>
  <si>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</si>
  <si>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</si>
  <si>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</si>
  <si>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</si>
  <si>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</si>
  <si>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</si>
  <si>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</si>
  <si>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</si>
  <si>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</si>
  <si>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</si>
  <si>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</si>
  <si>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</si>
  <si>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</si>
  <si>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</si>
  <si>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</si>
  <si>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</si>
  <si>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</si>
  <si>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</si>
  <si>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</si>
  <si>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</si>
  <si>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</si>
  <si>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</si>
  <si>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</si>
  <si>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</si>
  <si>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</si>
  <si>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</si>
  <si>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</si>
  <si>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</si>
  <si>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</si>
  <si>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</si>
  <si>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</si>
  <si>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</si>
  <si>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</si>
  <si>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</si>
  <si>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</si>
  <si>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</si>
  <si>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</si>
  <si>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</si>
  <si>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</si>
  <si>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</si>
  <si>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</si>
  <si>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</si>
  <si>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</si>
  <si>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</si>
  <si>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</si>
  <si>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</si>
  <si>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</si>
  <si>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</si>
  <si>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</si>
  <si>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</si>
  <si>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</si>
  <si>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</si>
  <si>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</si>
  <si>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</si>
  <si>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</si>
  <si>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</si>
  <si>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</si>
  <si>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</si>
  <si>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</si>
  <si>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</si>
  <si>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</si>
  <si>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</si>
  <si>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</si>
  <si>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</si>
  <si>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</si>
  <si>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</si>
  <si>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</si>
  <si>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</si>
  <si>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</si>
  <si>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</si>
  <si>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</si>
  <si>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</si>
  <si>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</si>
  <si>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</si>
  <si>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</si>
  <si>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</si>
  <si>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</si>
  <si>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</si>
  <si>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</si>
  <si>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</si>
  <si>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</si>
  <si>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</si>
  <si>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</si>
  <si>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</si>
  <si>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</si>
  <si>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</si>
  <si>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</si>
  <si>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</si>
  <si>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</si>
  <si>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</si>
  <si>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</si>
  <si>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</si>
  <si>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</si>
  <si>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</si>
  <si>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</si>
  <si>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</si>
  <si>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</si>
  <si>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</si>
  <si>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</si>
  <si>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</si>
  <si>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</si>
  <si>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</si>
  <si>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</si>
  <si>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</si>
  <si>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</si>
  <si>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Libellé (16px normal) =&gt; texte noir sur fond blanc =&gt; 21 (conforme)</t>
  </si>
  <si>
    <t>L'icône "tick" possède bien un aria-hidden. Mais il inclus aussi un SVG qui possède le role="img", à retirer.</t>
  </si>
  <si>
    <t>Non conforme</t>
  </si>
  <si>
    <t>Non applicable</t>
  </si>
  <si>
    <t>Conforme</t>
  </si>
  <si>
    <r>
      <rPr>
        <b/>
        <u/>
        <sz val="12"/>
        <color theme="1"/>
        <rFont val="Aptos Narrow (Corps)"/>
      </rPr>
      <t>État non coché :</t>
    </r>
    <r>
      <rPr>
        <sz val="12"/>
        <color theme="1"/>
        <rFont val="Aptos Narrow"/>
        <scheme val="minor"/>
      </rPr>
      <t xml:space="preserve">
- Bordure avec couleur adjacente =&gt; bordure grise sur fond blanc =&gt; 5,7 (conforme)
- Focus ring :
    - avec fond de la page =&gt; fond gris clair sur fond blanc =&gt; 1,3 (non conforme =&gt; ratio minimum de 3)
    - avec bordure de la checkbox =&gt; fond gris clair sur bordure grise =&gt; 5,2 (conforme)
</t>
    </r>
    <r>
      <rPr>
        <b/>
        <u/>
        <sz val="12"/>
        <color theme="1"/>
        <rFont val="Aptos Narrow (Corps)"/>
      </rPr>
      <t>État coché :</t>
    </r>
    <r>
      <rPr>
        <sz val="12"/>
        <color theme="1"/>
        <rFont val="Aptos Narrow"/>
        <scheme val="minor"/>
      </rPr>
      <t xml:space="preserve">
Primaire =&gt; fond bleu sur fond blanc =&gt; 9,4 (conforme)
Secondaire =&gt; fond bleu pétrole sur fond blanc =&gt; 6,6 (conforme)
Succès =&gt; fond vert sur fond blanc =&gt; 11,1 (conforme)
Erreur =&gt; fond rouge sur fond blanc =&gt; 5,7 (conforme)
Avertissement =&gt; fond orange sur fond blanc =&gt; 8,6 (conforme)
</t>
    </r>
    <r>
      <rPr>
        <b/>
        <u/>
        <sz val="12"/>
        <color theme="1"/>
        <rFont val="Aptos Narrow (Corps)"/>
      </rPr>
      <t>Focus ring état coché :</t>
    </r>
    <r>
      <rPr>
        <sz val="12"/>
        <color theme="1"/>
        <rFont val="Aptos Narrow"/>
        <scheme val="minor"/>
      </rPr>
      <t xml:space="preserve">
Primaire :
    - avec fond de la page =&gt; fond bleu ciel sur fond blanc =&gt; 1,2 (non conforme =&gt; ratio minimum de 3)
    - avec fond de la checkbox =&gt; fond bleu ciel sur fond bleu =&gt; 7,6 (conforme)
Secondaire :
    - avec fond de la page =&gt; fond bleu pétrole clair sur fond blanc =&gt; 1,2 (non conforme =&gt; ratio minimum de 3)
    - avec fond de la checkbox =&gt; fond bleu pétrole clair sur fond bleu pétrole =&gt; 5,5 (conforme)
Succès :
    - avec fond de la page =&gt; fond vert clair sur fond blanc =&gt; 1,2 (non conforme =&gt; ratio minimum de 3)
    - avec fond de la checkbox =&gt; fond vert clair sur fond vert =&gt; 9 (conforme)
Erreur :
    - avec fond de la page =&gt; fond rouge clair sur fond blanc =&gt; 1,2 (non conforme =&gt; ratio minimum de 3)
    - avec fond de la checkbox =&gt; fond rouge clair sur fond rouge =&gt; 4,8 (conforme)
Avertissement :
    - avec fond de la page =&gt; fond orange clair sur fond blanc =&gt; 1,2 (non conforme =&gt; ratio minimum de 3)
    - avec fond de la checkbox =&gt; fond orange clair sur fond orange =&gt; 7,1 (conforme)
Le halo pour le hover sur la checkbox n'est pas vérifié car nous considérons que le changement de curseur est une indication suffisante pour l'utilisateur. Par ailleurs, la checkbox dans tous ses états reste suffisamment contrasté en hover.
Au lieu d'un halo, le mieux reste d'avoir un focus ring "bordure" non collée à la checkbox.
</t>
    </r>
  </si>
  <si>
    <t>Le focus ring est présent mais pas suffisamment contrasté (voir 3.3)</t>
  </si>
  <si>
    <t>Composant : SyCheckbox</t>
  </si>
  <si>
    <t>Balise "label" ayant un attribut "for" associé à l'input (id)</t>
  </si>
  <si>
    <t>Les exemples de la documentation sont pertinents. Il sera de la responsabilité du contributeur de s'en assurer.</t>
  </si>
  <si>
    <t>L'étiquette est directement accolée au champ à droite (sens de lecture de gauche à droite pour un champ de type checkbox 11.4.3).</t>
  </si>
  <si>
    <t>Si l'attribut "required" est activé, l'input lui, ne possède pas l'attribut required (ou aria-required="true"). Ne pas oublier d'ajouter un élément visible dans l'étiquette associée (ou le passage de texte) pour signifier que l'élément est obligatoire (ex: étoile).
Il n'est pas possible dans ce composant d'indiquer qu'il y a une erreur (et d'ajouter un message d'erreur). Dans cette situation, il y aura un aria-invalid="true" et l'input sera relié au passage de texte (aria-describedby).</t>
  </si>
  <si>
    <t>Le validateur W3C remonte l'erreur suivante :
- The aria-checked attribute must not be used on an input element which has a type attribute whose value is checkbox.</t>
  </si>
  <si>
    <t>D'après le pattern W3C Checkbox, il faut utiliser une liste pour les checkboxes.
- Pattern Checkbox : https://www.w3.org/WAI/ARIA/apg/patterns/checkbox/examples/checkbox/
- Pattern Checkbox en indeterminate avec sous-enfants : https://www.w3.org/WAI/ARIA/apg/patterns/checkbox/examples/checkbox-mixed/</t>
  </si>
  <si>
    <t>Le script est contrôlable par le clavier dans le cas classique et respecte :
- Tab : Déplace le focus clavier entre les cases à cocher
- Espace :
    - Active/Désactive les cases à cocher à deux états
    - Lorsque la case à cocher des trois états n'est pas cochée, toutes les cases à cocher contrôlées sont décochées.
    - Lorsque la case à cocher à trois états est cochée, toutes les cases à cocher contrôlées sont cochées.
En revanche, dans le cas indeterminate (3 états) avec cases enfants (With Controls Ids), ces éléments ne fonctionne pas avec la touche Espace :
    - Fait défiler la case à cocher à trois états entre les états non cochés, mixtes et cochés.
    - Lorsque la case à cocher à trois états est en indeterminate, les cases à cocher contrôlées reviennent à la dernière combinaison d'états qu'elles avaient lorsque la case à cocher à trois états a été dans son état indeterminate pour la dernière fois ou à la combinaison par défaut d'états qu'elles avaient lorsque la page a été chargée.</t>
  </si>
  <si>
    <r>
      <rPr>
        <b/>
        <u/>
        <sz val="12"/>
        <color theme="1"/>
        <rFont val="Aptos Narrow (Corps)"/>
      </rPr>
      <t>Points positifs :</t>
    </r>
    <r>
      <rPr>
        <sz val="12"/>
        <color theme="1"/>
        <rFont val="Aptos Narrow"/>
        <scheme val="minor"/>
      </rPr>
      <t xml:space="preserve">
- indeterminate : aria-checked possède bien la valeur "mixed"
- disabled : l'attribut disabled est bien ajouté au champ input lorsque cet attribut est activé sur le composant.
</t>
    </r>
    <r>
      <rPr>
        <b/>
        <u/>
        <sz val="12"/>
        <color theme="1"/>
        <rFont val="Aptos Narrow (Corps)"/>
      </rPr>
      <t>Points négatifs :</t>
    </r>
    <r>
      <rPr>
        <sz val="12"/>
        <color theme="1"/>
        <rFont val="Aptos Narrow"/>
        <scheme val="minor"/>
      </rPr>
      <t xml:space="preserve">
- readonly : cet attribut n'existe pas pour les input type checkbox. En revanche, il est nécessaire de les passer en "disabled" pour qu'au lecteur d'écran, l'utilisateur puisse savoir que cet élément n'est pas actionable. Si on ne veut pas appliquer le style "disabled" sur le "readonly", on peut simplement ajouter un aria-disabled="true" sur l'input dans le cas "readonly"
- voir critère 11.10 pour les cas required et invalid</t>
    </r>
  </si>
  <si>
    <t>L'ordre de tabulation est cohérente</t>
  </si>
  <si>
    <t>pas de piege avec la touche tab tout les éléments sont atteignables</t>
  </si>
  <si>
    <t>Aucun troncage de texte. Le composant n'oblige pas à avoir recours au défilement afin de permettre la visualisuation complète du contenu.</t>
  </si>
  <si>
    <t>Testé avec Assistant RGAA :
body {
line-height: 1.5 !important;
letter-spacing: 0.12em !important;
 word-spacing: 0.16em !important;
}
p { margin-bottom: 2em !important;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</si>
  <si>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</si>
  <si>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</si>
  <si>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</si>
  <si>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</si>
  <si>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L'utilisation d'un fiedlset avec legend est nécessaire lors de l'intégration de listes de cases à cocher.</t>
  </si>
  <si>
    <t>https://www.accede-web.com/notices/html-et-css/formulaires/regrouper-et-titrer-les-champs-de-meme-nature-avec-fieldset-et-legend/</t>
  </si>
  <si>
    <t>Lorsque le composant ne concerne que la checkbox, il sera de la responsabilité du développeur d'utiliser un fieldset.</t>
  </si>
  <si>
    <t>En cas d'aide à la saisie, l'inscription est visible  dans un message ou présente dans l'étiquette. Il doit être rattaché au libellé ou situé dans le passage de texte associé au champ.</t>
  </si>
  <si>
    <t>- https://www.accede-web.com/notices/html-et-css/formulaires/integrer-les-aides-a-la-saisie-directement-dans-les-balises-label/</t>
  </si>
  <si>
    <t>Les champs obligatoires possèdent l'une et/ou l'autre condition :
- un intitulé visible permettant de l'identifier comme tel
- un attribut "required" ou 'aria-required="true"'.
Il doit être rattaché au libellé ou situé dans le passage de texte associé au champ.</t>
  </si>
  <si>
    <t>- https://www.accede-web.com/notices/html-et-css/formulaires/integrer-required-ou-aria-requiredtrue-dans-les-champs-obligatoires/</t>
  </si>
  <si>
    <t>En cas d'erreur,  le champ possède l'une et/ou l'autre condition :
- un message visible permet de l'identifier comme tel
- un attribut 'aria-invalid="true"'.
Il doit être rattaché au libellé ou situé dans le passage de texte associé au champ.
Par ailleurs, s'il s'agit d'une erreur de type ou format, l'information est retranscrite dans le message d'erreur avec des exemples de valeurs attendues autre que celle de l'aise à la saisie</t>
  </si>
  <si>
    <t>- https://www.accede-web.com/notices/html-et-css/formulaires/integrer-les-messages-derreur-et-les-suggestions-de-correction-directement-dans-les-balises-label/</t>
  </si>
  <si>
    <t xml:space="preserve">Le composant correspond au pattern Checkbox. La checkbox :
- doit être dans un role group s'il y en a plusieurs avec son nom accessible (aria-label ou aria-labelledby)
- doit être un input de type checkbox + label ou avoir un tabindex="0" + aria-checked (true/false/mixed).
Au niveau des interactions clavier :
- Tab : Déplace le focus clavier entre les cases à cocher
- Espace :
    - Active/Désactive les cases à cocher à deux états
    - Lorsque la case à cocher des trois états n'est pas cochée, toutes les cases à cocher contrôlées sont décochées.
    - Lorsque la case à cocher à trois états est cochée, toutes les cases à cocher contrôlées sont cochées.
    - Fait défiler la case à cocher à trois états entre les états non cochés, mixtes et cochés.
    - Lorsque la case à cocher à trois états est en indeterminate, les cases à cocher contrôlées reviennent à la dernière combinaison d'états qu'elles avaient lorsque la case à cocher à trois états a été dans son état indeterminate pour la dernière fois ou à la combinaison par défaut d'états qu'elles avaient lorsque la page a été chargée.
</t>
  </si>
  <si>
    <t>- https://www.w3.org/WAI/ARIA/apg/patterns/checkbox/examples/checkbox/
- https://www.w3.org/WAI/ARIA/apg/patterns/checkbox/examples/checkbox-mixed/
- https://www.accede-web.com/notices/html-et-css/formulaires/utiliser-la-balise-label-ainsi-que-les-attributs-for-et-id-pour-etiqueter-les-champs-avec-intitule-visible/</t>
  </si>
  <si>
    <t>1.0.10</t>
  </si>
  <si>
    <t>Suppression de l'attribut role="img"</t>
  </si>
  <si>
    <t>Refonte du focus ring</t>
  </si>
  <si>
    <t>- Ajout de l'attribut "aria-disable" dans le cas où l'attribut est readonly,</t>
  </si>
  <si>
    <t>Erreur non présente en 1,1,1</t>
  </si>
  <si>
    <t>Il sera de la responsabilité du développeur d'indiquer des suggestions facillitant la correction des erreurs de saisie.</t>
  </si>
  <si>
    <t>Ajout de l'attribut Required sur la balise Input si le champ est requis.</t>
  </si>
  <si>
    <t>Modification des stories pour utiliser des listes.</t>
  </si>
  <si>
    <t xml:space="preserve"> Ajout du support de la gestion a trois états et mise a jour des stories dans la documentation.</t>
  </si>
  <si>
    <t>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</si>
</sst>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u/>
      <sz val="12"/>
      <color theme="1"/>
      <name val="Aptos Narrow (Corps)"/>
    </font>
    <font>
      <sz val="12"/>
      <color theme="6" tint="-0.249977111117893"/>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9" fontId="13" fillId="0" borderId="5" xfId="0" applyNumberFormat="1" applyFont="1" applyBorder="1"/>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15" fillId="6" borderId="5" xfId="0" applyFont="1" applyFill="1" applyBorder="1" applyAlignment="1">
      <alignment horizontal="left" vertical="top" wrapText="1"/>
    </xf>
    <xf numFmtId="0" fontId="15" fillId="6" borderId="5" xfId="0" quotePrefix="1" applyFont="1" applyFill="1" applyBorder="1" applyAlignment="1">
      <alignment horizontal="left" vertical="top" wrapText="1"/>
    </xf>
    <xf numFmtId="0" fontId="6" fillId="0" borderId="5" xfId="0" applyFont="1" applyBorder="1" applyAlignment="1">
      <alignment horizontal="right"/>
    </xf>
  </cellXfs>
  <cellStyles count="2">
    <cellStyle name="Normal" xfId="0" builtinId="0"/>
    <cellStyle name="Pourcentage" xfId="1" builtinId="5"/>
  </cellStyles>
  <dxfs count="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8" tint="-0.24994659260841701"/>
      </font>
      <fill>
        <patternFill>
          <bgColor theme="8" tint="0.79998168889431442"/>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8"/>
  <sheetViews>
    <sheetView tabSelected="1" topLeftCell="C1" zoomScale="110" zoomScaleNormal="110" workbookViewId="0">
      <selection activeCell="E12" sqref="E12"/>
    </sheetView>
  </sheetViews>
  <sheetFormatPr baseColWidth="10" defaultColWidth="10.796875" defaultRowHeight="15.6"/>
  <cols>
    <col min="1" max="1" width="15" style="1" customWidth="1"/>
    <col min="2" max="2" width="10.296875" style="1" bestFit="1" customWidth="1"/>
    <col min="3" max="3" width="59.796875" style="1" customWidth="1"/>
    <col min="4" max="4" width="15.19921875" style="1" bestFit="1" customWidth="1"/>
    <col min="5" max="5" width="86.5" style="1" customWidth="1"/>
    <col min="6" max="6" width="17.19921875" style="1" customWidth="1"/>
    <col min="7" max="16384" width="10.796875" style="1"/>
  </cols>
  <sheetData>
    <row r="1" spans="1:6" ht="31.95" customHeight="1">
      <c r="A1" s="22" t="s">
        <v>251</v>
      </c>
      <c r="B1" s="22"/>
      <c r="C1" s="22"/>
      <c r="D1" s="22"/>
    </row>
    <row r="2" spans="1:6" ht="18">
      <c r="A2" s="27" t="s">
        <v>242</v>
      </c>
      <c r="B2" s="27"/>
      <c r="C2" s="27"/>
      <c r="D2" s="18" t="s">
        <v>243</v>
      </c>
      <c r="E2" s="18"/>
    </row>
    <row r="3" spans="1:6" ht="18">
      <c r="A3" s="23" t="s">
        <v>234</v>
      </c>
      <c r="B3" s="23"/>
      <c r="C3" s="23"/>
      <c r="D3" s="8">
        <v>45945</v>
      </c>
      <c r="E3" s="8">
        <v>45844</v>
      </c>
    </row>
    <row r="4" spans="1:6" ht="18">
      <c r="A4" s="24" t="s">
        <v>238</v>
      </c>
      <c r="B4" s="25"/>
      <c r="C4" s="26"/>
      <c r="D4" s="13" t="s">
        <v>279</v>
      </c>
      <c r="E4" s="42" t="s">
        <v>288</v>
      </c>
    </row>
    <row r="5" spans="1:6" ht="16.05" customHeight="1">
      <c r="A5" s="23" t="s">
        <v>230</v>
      </c>
      <c r="B5" s="23"/>
      <c r="C5" s="23"/>
      <c r="D5" s="9">
        <f xml:space="preserve"> COUNTIF($D$14:$D$119,"Conforme")</f>
        <v>11</v>
      </c>
      <c r="E5" s="9">
        <v>19</v>
      </c>
    </row>
    <row r="6" spans="1:6" ht="18">
      <c r="A6" s="23" t="s">
        <v>231</v>
      </c>
      <c r="B6" s="23"/>
      <c r="C6" s="23"/>
      <c r="D6" s="9">
        <f xml:space="preserve"> COUNTIF($D$14:$D$119,"Non conforme")</f>
        <v>8</v>
      </c>
      <c r="E6" s="9">
        <v>0</v>
      </c>
    </row>
    <row r="7" spans="1:6" ht="18">
      <c r="A7" s="23" t="s">
        <v>237</v>
      </c>
      <c r="B7" s="23"/>
      <c r="C7" s="23"/>
      <c r="D7" s="9">
        <f xml:space="preserve"> COUNTIF($D$14:$D$119,"Non applicable")</f>
        <v>87</v>
      </c>
      <c r="E7" s="9">
        <v>97</v>
      </c>
    </row>
    <row r="8" spans="1:6" ht="18">
      <c r="A8" s="23" t="s">
        <v>232</v>
      </c>
      <c r="B8" s="23"/>
      <c r="C8" s="23"/>
      <c r="D8" s="9">
        <f xml:space="preserve"> COUNTIF($D$14:$D$119,"Dérogé")</f>
        <v>0</v>
      </c>
      <c r="E8" s="9">
        <v>0</v>
      </c>
    </row>
    <row r="9" spans="1:6" ht="18">
      <c r="A9" s="23" t="s">
        <v>233</v>
      </c>
      <c r="B9" s="23"/>
      <c r="C9" s="23"/>
      <c r="D9" s="9">
        <f xml:space="preserve"> COUNTIF($D$14:$D$119,"Non testé")</f>
        <v>0</v>
      </c>
      <c r="E9" s="9">
        <v>0</v>
      </c>
    </row>
    <row r="10" spans="1:6" ht="19.05" customHeight="1">
      <c r="A10" s="31" t="s">
        <v>239</v>
      </c>
      <c r="B10" s="32"/>
      <c r="C10" s="33"/>
      <c r="D10" s="14">
        <f>IF(SUM(D5:D6)&gt;0,D5/SUM(D5:D6),"")</f>
        <v>0.57894736842105265</v>
      </c>
      <c r="E10" s="19">
        <v>1</v>
      </c>
    </row>
    <row r="11" spans="1:6" ht="19.05" customHeight="1">
      <c r="A11" s="31" t="s">
        <v>240</v>
      </c>
      <c r="B11" s="32"/>
      <c r="C11" s="33"/>
      <c r="D11" s="14">
        <f>IF(SUM(D5:D6)&gt;0,1-ROUND(D10,2),"")</f>
        <v>0.42000000000000004</v>
      </c>
      <c r="E11" s="19">
        <v>0</v>
      </c>
    </row>
    <row r="12" spans="1:6">
      <c r="A12" s="7"/>
      <c r="B12" s="7"/>
      <c r="C12" s="7"/>
    </row>
    <row r="13" spans="1:6" ht="18">
      <c r="A13" s="4" t="s">
        <v>0</v>
      </c>
      <c r="B13" s="4" t="s">
        <v>229</v>
      </c>
      <c r="C13" s="4" t="s">
        <v>1</v>
      </c>
      <c r="D13" s="4" t="s">
        <v>227</v>
      </c>
      <c r="E13" s="6" t="s">
        <v>228</v>
      </c>
      <c r="F13" s="16" t="s">
        <v>241</v>
      </c>
    </row>
    <row r="14" spans="1:6" ht="18">
      <c r="A14" s="34" t="s">
        <v>2</v>
      </c>
      <c r="B14" s="2" t="s">
        <v>3</v>
      </c>
      <c r="C14" s="3" t="s">
        <v>4</v>
      </c>
      <c r="D14" s="5" t="s">
        <v>247</v>
      </c>
      <c r="E14" s="11"/>
      <c r="F14" s="17"/>
    </row>
    <row r="15" spans="1:6" ht="31.2">
      <c r="A15" s="29"/>
      <c r="B15" s="2" t="s">
        <v>5</v>
      </c>
      <c r="C15" s="3" t="s">
        <v>6</v>
      </c>
      <c r="D15" s="5" t="s">
        <v>246</v>
      </c>
      <c r="E15" s="12" t="s">
        <v>245</v>
      </c>
      <c r="F15" s="40" t="s">
        <v>280</v>
      </c>
    </row>
    <row r="16" spans="1:6" ht="31.2">
      <c r="A16" s="29"/>
      <c r="B16" s="2" t="s">
        <v>7</v>
      </c>
      <c r="C16" s="3" t="s">
        <v>8</v>
      </c>
      <c r="D16" s="5" t="s">
        <v>247</v>
      </c>
      <c r="E16" s="11"/>
      <c r="F16" s="17"/>
    </row>
    <row r="17" spans="1:6" ht="46.8">
      <c r="A17" s="29"/>
      <c r="B17" s="2" t="s">
        <v>9</v>
      </c>
      <c r="C17" s="3" t="s">
        <v>10</v>
      </c>
      <c r="D17" s="5" t="s">
        <v>247</v>
      </c>
      <c r="E17" s="11"/>
      <c r="F17" s="17"/>
    </row>
    <row r="18" spans="1:6" ht="31.2">
      <c r="A18" s="29"/>
      <c r="B18" s="2" t="s">
        <v>11</v>
      </c>
      <c r="C18" s="3" t="s">
        <v>12</v>
      </c>
      <c r="D18" s="5" t="s">
        <v>247</v>
      </c>
      <c r="E18" s="11"/>
      <c r="F18" s="17"/>
    </row>
    <row r="19" spans="1:6" ht="31.2">
      <c r="A19" s="29"/>
      <c r="B19" s="2" t="s">
        <v>13</v>
      </c>
      <c r="C19" s="3" t="s">
        <v>14</v>
      </c>
      <c r="D19" s="5" t="s">
        <v>247</v>
      </c>
      <c r="E19" s="11"/>
      <c r="F19" s="17"/>
    </row>
    <row r="20" spans="1:6" ht="31.2">
      <c r="A20" s="29"/>
      <c r="B20" s="2" t="s">
        <v>15</v>
      </c>
      <c r="C20" s="3" t="s">
        <v>16</v>
      </c>
      <c r="D20" s="5" t="s">
        <v>247</v>
      </c>
      <c r="E20" s="11"/>
      <c r="F20" s="17"/>
    </row>
    <row r="21" spans="1:6" ht="46.8">
      <c r="A21" s="29"/>
      <c r="B21" s="2" t="s">
        <v>17</v>
      </c>
      <c r="C21" s="3" t="s">
        <v>18</v>
      </c>
      <c r="D21" s="5" t="s">
        <v>247</v>
      </c>
      <c r="E21" s="11"/>
      <c r="F21" s="17"/>
    </row>
    <row r="22" spans="1:6" ht="31.2">
      <c r="A22" s="30"/>
      <c r="B22" s="2" t="s">
        <v>19</v>
      </c>
      <c r="C22" s="3" t="s">
        <v>20</v>
      </c>
      <c r="D22" s="5" t="s">
        <v>247</v>
      </c>
      <c r="E22" s="11"/>
      <c r="F22" s="17"/>
    </row>
    <row r="23" spans="1:6" ht="18">
      <c r="A23" s="28" t="s">
        <v>21</v>
      </c>
      <c r="B23" s="2" t="s">
        <v>22</v>
      </c>
      <c r="C23" s="3" t="s">
        <v>23</v>
      </c>
      <c r="D23" s="5" t="s">
        <v>247</v>
      </c>
      <c r="E23" s="11"/>
      <c r="F23" s="17"/>
    </row>
    <row r="24" spans="1:6" ht="31.2">
      <c r="A24" s="30"/>
      <c r="B24" s="2" t="s">
        <v>24</v>
      </c>
      <c r="C24" s="3" t="s">
        <v>25</v>
      </c>
      <c r="D24" s="5" t="s">
        <v>247</v>
      </c>
      <c r="E24" s="11"/>
      <c r="F24" s="17"/>
    </row>
    <row r="25" spans="1:6" ht="31.2">
      <c r="A25" s="28" t="s">
        <v>26</v>
      </c>
      <c r="B25" s="2" t="s">
        <v>27</v>
      </c>
      <c r="C25" s="3" t="s">
        <v>28</v>
      </c>
      <c r="D25" s="5" t="s">
        <v>247</v>
      </c>
      <c r="E25" s="11"/>
      <c r="F25" s="17"/>
    </row>
    <row r="26" spans="1:6" ht="46.8">
      <c r="A26" s="29"/>
      <c r="B26" s="2" t="s">
        <v>29</v>
      </c>
      <c r="C26" s="3" t="s">
        <v>30</v>
      </c>
      <c r="D26" s="5" t="s">
        <v>248</v>
      </c>
      <c r="E26" s="11" t="s">
        <v>244</v>
      </c>
      <c r="F26" s="17"/>
    </row>
    <row r="27" spans="1:6" ht="409.6">
      <c r="A27" s="30"/>
      <c r="B27" s="2" t="s">
        <v>31</v>
      </c>
      <c r="C27" s="3" t="s">
        <v>32</v>
      </c>
      <c r="D27" s="5" t="s">
        <v>246</v>
      </c>
      <c r="E27" s="11" t="s">
        <v>249</v>
      </c>
      <c r="F27" s="40" t="s">
        <v>281</v>
      </c>
    </row>
    <row r="28" spans="1:6" ht="31.2">
      <c r="A28" s="28" t="s">
        <v>33</v>
      </c>
      <c r="B28" s="2" t="s">
        <v>34</v>
      </c>
      <c r="C28" s="3" t="s">
        <v>35</v>
      </c>
      <c r="D28" s="5" t="s">
        <v>247</v>
      </c>
      <c r="E28" s="11"/>
      <c r="F28" s="17"/>
    </row>
    <row r="29" spans="1:6" ht="46.8">
      <c r="A29" s="29"/>
      <c r="B29" s="2" t="s">
        <v>36</v>
      </c>
      <c r="C29" s="3" t="s">
        <v>37</v>
      </c>
      <c r="D29" s="5" t="s">
        <v>247</v>
      </c>
      <c r="E29" s="11"/>
      <c r="F29" s="17"/>
    </row>
    <row r="30" spans="1:6" ht="31.2">
      <c r="A30" s="29"/>
      <c r="B30" s="2" t="s">
        <v>38</v>
      </c>
      <c r="C30" s="3" t="s">
        <v>39</v>
      </c>
      <c r="D30" s="5" t="s">
        <v>247</v>
      </c>
      <c r="E30" s="11"/>
      <c r="F30" s="17"/>
    </row>
    <row r="31" spans="1:6" ht="31.2">
      <c r="A31" s="29"/>
      <c r="B31" s="2" t="s">
        <v>40</v>
      </c>
      <c r="C31" s="3" t="s">
        <v>41</v>
      </c>
      <c r="D31" s="5" t="s">
        <v>247</v>
      </c>
      <c r="E31" s="11"/>
      <c r="F31" s="17"/>
    </row>
    <row r="32" spans="1:6" ht="31.2">
      <c r="A32" s="29"/>
      <c r="B32" s="2" t="s">
        <v>42</v>
      </c>
      <c r="C32" s="3" t="s">
        <v>43</v>
      </c>
      <c r="D32" s="5" t="s">
        <v>247</v>
      </c>
      <c r="E32" s="11"/>
      <c r="F32" s="17"/>
    </row>
    <row r="33" spans="1:6" ht="31.2">
      <c r="A33" s="29"/>
      <c r="B33" s="2" t="s">
        <v>44</v>
      </c>
      <c r="C33" s="3" t="s">
        <v>45</v>
      </c>
      <c r="D33" s="5" t="s">
        <v>247</v>
      </c>
      <c r="E33" s="11"/>
      <c r="F33" s="17"/>
    </row>
    <row r="34" spans="1:6" ht="31.2">
      <c r="A34" s="29"/>
      <c r="B34" s="2" t="s">
        <v>46</v>
      </c>
      <c r="C34" s="3" t="s">
        <v>47</v>
      </c>
      <c r="D34" s="5" t="s">
        <v>247</v>
      </c>
      <c r="E34" s="11"/>
      <c r="F34" s="17"/>
    </row>
    <row r="35" spans="1:6" ht="31.2">
      <c r="A35" s="29"/>
      <c r="B35" s="2" t="s">
        <v>48</v>
      </c>
      <c r="C35" s="3" t="s">
        <v>49</v>
      </c>
      <c r="D35" s="5" t="s">
        <v>247</v>
      </c>
      <c r="E35" s="11"/>
      <c r="F35" s="17"/>
    </row>
    <row r="36" spans="1:6" ht="31.2">
      <c r="A36" s="29"/>
      <c r="B36" s="2" t="s">
        <v>50</v>
      </c>
      <c r="C36" s="3" t="s">
        <v>51</v>
      </c>
      <c r="D36" s="5" t="s">
        <v>247</v>
      </c>
      <c r="E36" s="11"/>
      <c r="F36" s="17"/>
    </row>
    <row r="37" spans="1:6" ht="31.2">
      <c r="A37" s="29"/>
      <c r="B37" s="2" t="s">
        <v>52</v>
      </c>
      <c r="C37" s="3" t="s">
        <v>53</v>
      </c>
      <c r="D37" s="5" t="s">
        <v>247</v>
      </c>
      <c r="E37" s="11"/>
      <c r="F37" s="17"/>
    </row>
    <row r="38" spans="1:6" ht="31.2">
      <c r="A38" s="29"/>
      <c r="B38" s="2" t="s">
        <v>54</v>
      </c>
      <c r="C38" s="3" t="s">
        <v>55</v>
      </c>
      <c r="D38" s="5" t="s">
        <v>247</v>
      </c>
      <c r="E38" s="11"/>
      <c r="F38" s="17"/>
    </row>
    <row r="39" spans="1:6" ht="31.2">
      <c r="A39" s="29"/>
      <c r="B39" s="2" t="s">
        <v>56</v>
      </c>
      <c r="C39" s="3" t="s">
        <v>57</v>
      </c>
      <c r="D39" s="5" t="s">
        <v>247</v>
      </c>
      <c r="E39" s="11"/>
      <c r="F39" s="17"/>
    </row>
    <row r="40" spans="1:6" ht="31.2">
      <c r="A40" s="30"/>
      <c r="B40" s="2" t="s">
        <v>58</v>
      </c>
      <c r="C40" s="3" t="s">
        <v>59</v>
      </c>
      <c r="D40" s="5" t="s">
        <v>247</v>
      </c>
      <c r="E40" s="11"/>
      <c r="F40" s="17"/>
    </row>
    <row r="41" spans="1:6" ht="18">
      <c r="A41" s="28" t="s">
        <v>60</v>
      </c>
      <c r="B41" s="2" t="s">
        <v>61</v>
      </c>
      <c r="C41" s="3" t="s">
        <v>62</v>
      </c>
      <c r="D41" s="5" t="s">
        <v>247</v>
      </c>
      <c r="E41" s="11"/>
      <c r="F41" s="17"/>
    </row>
    <row r="42" spans="1:6" ht="31.2">
      <c r="A42" s="29"/>
      <c r="B42" s="2" t="s">
        <v>63</v>
      </c>
      <c r="C42" s="3" t="s">
        <v>64</v>
      </c>
      <c r="D42" s="5" t="s">
        <v>247</v>
      </c>
      <c r="E42" s="11"/>
      <c r="F42" s="17"/>
    </row>
    <row r="43" spans="1:6" ht="31.2">
      <c r="A43" s="29"/>
      <c r="B43" s="2" t="s">
        <v>65</v>
      </c>
      <c r="C43" s="3" t="s">
        <v>66</v>
      </c>
      <c r="D43" s="5" t="s">
        <v>247</v>
      </c>
      <c r="E43" s="11"/>
      <c r="F43" s="17"/>
    </row>
    <row r="44" spans="1:6" ht="31.2">
      <c r="A44" s="29"/>
      <c r="B44" s="2" t="s">
        <v>67</v>
      </c>
      <c r="C44" s="3" t="s">
        <v>68</v>
      </c>
      <c r="D44" s="5" t="s">
        <v>247</v>
      </c>
      <c r="E44" s="11"/>
      <c r="F44" s="17"/>
    </row>
    <row r="45" spans="1:6" ht="18">
      <c r="A45" s="29"/>
      <c r="B45" s="2" t="s">
        <v>69</v>
      </c>
      <c r="C45" s="3" t="s">
        <v>70</v>
      </c>
      <c r="D45" s="5" t="s">
        <v>247</v>
      </c>
      <c r="E45" s="11"/>
      <c r="F45" s="17"/>
    </row>
    <row r="46" spans="1:6" ht="31.2">
      <c r="A46" s="29"/>
      <c r="B46" s="2" t="s">
        <v>71</v>
      </c>
      <c r="C46" s="3" t="s">
        <v>72</v>
      </c>
      <c r="D46" s="5" t="s">
        <v>247</v>
      </c>
      <c r="E46" s="11"/>
      <c r="F46" s="17"/>
    </row>
    <row r="47" spans="1:6" ht="46.8">
      <c r="A47" s="29"/>
      <c r="B47" s="2" t="s">
        <v>73</v>
      </c>
      <c r="C47" s="3" t="s">
        <v>74</v>
      </c>
      <c r="D47" s="5" t="s">
        <v>247</v>
      </c>
      <c r="E47" s="11"/>
      <c r="F47" s="17"/>
    </row>
    <row r="48" spans="1:6" ht="31.2">
      <c r="A48" s="30"/>
      <c r="B48" s="2" t="s">
        <v>75</v>
      </c>
      <c r="C48" s="3" t="s">
        <v>76</v>
      </c>
      <c r="D48" s="5" t="s">
        <v>247</v>
      </c>
      <c r="E48" s="11"/>
      <c r="F48" s="17"/>
    </row>
    <row r="49" spans="1:6" ht="18">
      <c r="A49" s="28" t="s">
        <v>77</v>
      </c>
      <c r="B49" s="2" t="s">
        <v>78</v>
      </c>
      <c r="C49" s="3" t="s">
        <v>79</v>
      </c>
      <c r="D49" s="5" t="s">
        <v>247</v>
      </c>
      <c r="E49" s="11"/>
      <c r="F49" s="17"/>
    </row>
    <row r="50" spans="1:6" ht="18">
      <c r="A50" s="30"/>
      <c r="B50" s="2" t="s">
        <v>80</v>
      </c>
      <c r="C50" s="3" t="s">
        <v>81</v>
      </c>
      <c r="D50" s="5" t="s">
        <v>247</v>
      </c>
      <c r="E50" s="11"/>
      <c r="F50" s="17"/>
    </row>
    <row r="51" spans="1:6" ht="171.6">
      <c r="A51" s="28" t="s">
        <v>82</v>
      </c>
      <c r="B51" s="2" t="s">
        <v>83</v>
      </c>
      <c r="C51" s="3" t="s">
        <v>84</v>
      </c>
      <c r="D51" s="5" t="s">
        <v>246</v>
      </c>
      <c r="E51" s="12" t="s">
        <v>259</v>
      </c>
      <c r="F51" s="41" t="s">
        <v>282</v>
      </c>
    </row>
    <row r="52" spans="1:6" ht="31.2">
      <c r="A52" s="29"/>
      <c r="B52" s="2" t="s">
        <v>85</v>
      </c>
      <c r="C52" s="3" t="s">
        <v>86</v>
      </c>
      <c r="D52" s="5" t="s">
        <v>247</v>
      </c>
      <c r="E52" s="11"/>
      <c r="F52" s="17"/>
    </row>
    <row r="53" spans="1:6" ht="234">
      <c r="A53" s="29"/>
      <c r="B53" s="2" t="s">
        <v>87</v>
      </c>
      <c r="C53" s="3" t="s">
        <v>88</v>
      </c>
      <c r="D53" s="5" t="s">
        <v>246</v>
      </c>
      <c r="E53" s="11" t="s">
        <v>258</v>
      </c>
      <c r="F53" s="40" t="s">
        <v>287</v>
      </c>
    </row>
    <row r="54" spans="1:6" ht="31.2">
      <c r="A54" s="29"/>
      <c r="B54" s="2" t="s">
        <v>89</v>
      </c>
      <c r="C54" s="3" t="s">
        <v>90</v>
      </c>
      <c r="D54" s="5" t="s">
        <v>247</v>
      </c>
      <c r="E54" s="11"/>
      <c r="F54" s="17"/>
    </row>
    <row r="55" spans="1:6" ht="31.2">
      <c r="A55" s="30"/>
      <c r="B55" s="2" t="s">
        <v>91</v>
      </c>
      <c r="C55" s="3" t="s">
        <v>92</v>
      </c>
      <c r="D55" s="5" t="s">
        <v>247</v>
      </c>
      <c r="E55" s="11"/>
      <c r="F55" s="17"/>
    </row>
    <row r="56" spans="1:6" ht="18">
      <c r="A56" s="28" t="s">
        <v>93</v>
      </c>
      <c r="B56" s="2" t="s">
        <v>94</v>
      </c>
      <c r="C56" s="3" t="s">
        <v>95</v>
      </c>
      <c r="D56" s="5" t="s">
        <v>247</v>
      </c>
      <c r="E56" s="11"/>
      <c r="F56" s="17"/>
    </row>
    <row r="57" spans="1:6" ht="46.8">
      <c r="A57" s="29"/>
      <c r="B57" s="2" t="s">
        <v>96</v>
      </c>
      <c r="C57" s="3" t="s">
        <v>97</v>
      </c>
      <c r="D57" s="5" t="s">
        <v>246</v>
      </c>
      <c r="E57" s="11" t="s">
        <v>256</v>
      </c>
      <c r="F57" s="40" t="s">
        <v>283</v>
      </c>
    </row>
    <row r="58" spans="1:6" ht="18">
      <c r="A58" s="29"/>
      <c r="B58" s="2" t="s">
        <v>98</v>
      </c>
      <c r="C58" s="3" t="s">
        <v>99</v>
      </c>
      <c r="D58" s="5" t="s">
        <v>247</v>
      </c>
      <c r="E58" s="11"/>
      <c r="F58" s="17"/>
    </row>
    <row r="59" spans="1:6" ht="31.2">
      <c r="A59" s="29"/>
      <c r="B59" s="2" t="s">
        <v>100</v>
      </c>
      <c r="C59" s="3" t="s">
        <v>101</v>
      </c>
      <c r="D59" s="5" t="s">
        <v>247</v>
      </c>
      <c r="E59" s="11"/>
      <c r="F59" s="17"/>
    </row>
    <row r="60" spans="1:6" ht="18">
      <c r="A60" s="29"/>
      <c r="B60" s="2" t="s">
        <v>102</v>
      </c>
      <c r="C60" s="3" t="s">
        <v>103</v>
      </c>
      <c r="D60" s="5" t="s">
        <v>247</v>
      </c>
      <c r="E60" s="11"/>
      <c r="F60" s="17"/>
    </row>
    <row r="61" spans="1:6" ht="18">
      <c r="A61" s="29"/>
      <c r="B61" s="2" t="s">
        <v>104</v>
      </c>
      <c r="C61" s="3" t="s">
        <v>105</v>
      </c>
      <c r="D61" s="5" t="s">
        <v>247</v>
      </c>
      <c r="E61" s="11"/>
      <c r="F61" s="17"/>
    </row>
    <row r="62" spans="1:6" ht="31.2">
      <c r="A62" s="29"/>
      <c r="B62" s="2" t="s">
        <v>106</v>
      </c>
      <c r="C62" s="3" t="s">
        <v>107</v>
      </c>
      <c r="D62" s="5" t="s">
        <v>247</v>
      </c>
      <c r="E62" s="11"/>
      <c r="F62" s="17"/>
    </row>
    <row r="63" spans="1:6" ht="31.2">
      <c r="A63" s="29"/>
      <c r="B63" s="2" t="s">
        <v>108</v>
      </c>
      <c r="C63" s="3" t="s">
        <v>109</v>
      </c>
      <c r="D63" s="5" t="s">
        <v>247</v>
      </c>
      <c r="E63" s="11"/>
      <c r="F63" s="17"/>
    </row>
    <row r="64" spans="1:6" ht="31.2">
      <c r="A64" s="29"/>
      <c r="B64" s="2" t="s">
        <v>110</v>
      </c>
      <c r="C64" s="3" t="s">
        <v>111</v>
      </c>
      <c r="D64" s="5" t="s">
        <v>247</v>
      </c>
      <c r="E64" s="11"/>
      <c r="F64" s="17"/>
    </row>
    <row r="65" spans="1:6" ht="31.2">
      <c r="A65" s="30"/>
      <c r="B65" s="2" t="s">
        <v>112</v>
      </c>
      <c r="C65" s="3" t="s">
        <v>113</v>
      </c>
      <c r="D65" s="5" t="s">
        <v>247</v>
      </c>
      <c r="E65" s="11"/>
      <c r="F65" s="17"/>
    </row>
    <row r="66" spans="1:6" ht="31.2">
      <c r="A66" s="28" t="s">
        <v>114</v>
      </c>
      <c r="B66" s="2" t="s">
        <v>115</v>
      </c>
      <c r="C66" s="3" t="s">
        <v>116</v>
      </c>
      <c r="D66" s="5" t="s">
        <v>247</v>
      </c>
      <c r="E66" s="11"/>
      <c r="F66" s="17"/>
    </row>
    <row r="67" spans="1:6" ht="31.2">
      <c r="A67" s="29"/>
      <c r="B67" s="2" t="s">
        <v>117</v>
      </c>
      <c r="C67" s="3" t="s">
        <v>118</v>
      </c>
      <c r="D67" s="5" t="s">
        <v>247</v>
      </c>
      <c r="E67" s="11"/>
      <c r="F67" s="17"/>
    </row>
    <row r="68" spans="1:6" ht="62.4">
      <c r="A68" s="29"/>
      <c r="B68" s="2" t="s">
        <v>119</v>
      </c>
      <c r="C68" s="3" t="s">
        <v>120</v>
      </c>
      <c r="D68" s="5" t="s">
        <v>246</v>
      </c>
      <c r="E68" s="11" t="s">
        <v>257</v>
      </c>
      <c r="F68" s="40" t="s">
        <v>286</v>
      </c>
    </row>
    <row r="69" spans="1:6" ht="31.2">
      <c r="A69" s="30"/>
      <c r="B69" s="2" t="s">
        <v>121</v>
      </c>
      <c r="C69" s="3" t="s">
        <v>122</v>
      </c>
      <c r="D69" s="5" t="s">
        <v>247</v>
      </c>
      <c r="E69" s="11"/>
      <c r="F69" s="17"/>
    </row>
    <row r="70" spans="1:6" ht="62.4">
      <c r="A70" s="28" t="s">
        <v>123</v>
      </c>
      <c r="B70" s="2" t="s">
        <v>124</v>
      </c>
      <c r="C70" s="3" t="s">
        <v>125</v>
      </c>
      <c r="D70" s="5" t="s">
        <v>248</v>
      </c>
      <c r="E70" s="21" t="s">
        <v>264</v>
      </c>
      <c r="F70" s="17"/>
    </row>
    <row r="71" spans="1:6" ht="31.2">
      <c r="A71" s="29"/>
      <c r="B71" s="2" t="s">
        <v>126</v>
      </c>
      <c r="C71" s="3" t="s">
        <v>127</v>
      </c>
      <c r="D71" s="5" t="s">
        <v>248</v>
      </c>
      <c r="E71" s="20" t="s">
        <v>265</v>
      </c>
      <c r="F71" s="17"/>
    </row>
    <row r="72" spans="1:6" ht="31.2">
      <c r="A72" s="29"/>
      <c r="B72" s="2" t="s">
        <v>128</v>
      </c>
      <c r="C72" s="3" t="s">
        <v>129</v>
      </c>
      <c r="D72" s="5" t="s">
        <v>248</v>
      </c>
      <c r="E72" s="21" t="s">
        <v>266</v>
      </c>
      <c r="F72" s="17"/>
    </row>
    <row r="73" spans="1:6" ht="46.8">
      <c r="A73" s="29"/>
      <c r="B73" s="2" t="s">
        <v>130</v>
      </c>
      <c r="C73" s="3" t="s">
        <v>131</v>
      </c>
      <c r="D73" s="5" t="s">
        <v>248</v>
      </c>
      <c r="E73" s="20" t="s">
        <v>267</v>
      </c>
      <c r="F73" s="17"/>
    </row>
    <row r="74" spans="1:6" ht="31.2">
      <c r="A74" s="29"/>
      <c r="B74" s="2" t="s">
        <v>132</v>
      </c>
      <c r="C74" s="3" t="s">
        <v>133</v>
      </c>
      <c r="D74" s="5" t="s">
        <v>247</v>
      </c>
      <c r="E74" s="11"/>
      <c r="F74" s="17"/>
    </row>
    <row r="75" spans="1:6" ht="31.2">
      <c r="A75" s="29"/>
      <c r="B75" s="2" t="s">
        <v>134</v>
      </c>
      <c r="C75" s="3" t="s">
        <v>135</v>
      </c>
      <c r="D75" s="5" t="s">
        <v>247</v>
      </c>
      <c r="E75" s="11"/>
      <c r="F75" s="17"/>
    </row>
    <row r="76" spans="1:6" ht="31.2">
      <c r="A76" s="29"/>
      <c r="B76" s="2" t="s">
        <v>136</v>
      </c>
      <c r="C76" s="3" t="s">
        <v>137</v>
      </c>
      <c r="D76" s="5" t="s">
        <v>246</v>
      </c>
      <c r="E76" s="11" t="s">
        <v>250</v>
      </c>
      <c r="F76" s="40" t="s">
        <v>281</v>
      </c>
    </row>
    <row r="77" spans="1:6" ht="31.2">
      <c r="A77" s="29"/>
      <c r="B77" s="2" t="s">
        <v>138</v>
      </c>
      <c r="C77" s="3" t="s">
        <v>139</v>
      </c>
      <c r="D77" s="5" t="s">
        <v>247</v>
      </c>
      <c r="E77" s="11"/>
      <c r="F77" s="17"/>
    </row>
    <row r="78" spans="1:6" ht="46.8">
      <c r="A78" s="29"/>
      <c r="B78" s="2" t="s">
        <v>140</v>
      </c>
      <c r="C78" s="3" t="s">
        <v>141</v>
      </c>
      <c r="D78" s="5" t="s">
        <v>247</v>
      </c>
      <c r="E78" s="11"/>
      <c r="F78" s="17"/>
    </row>
    <row r="79" spans="1:6" ht="46.8">
      <c r="A79" s="29"/>
      <c r="B79" s="2" t="s">
        <v>142</v>
      </c>
      <c r="C79" s="3" t="s">
        <v>143</v>
      </c>
      <c r="D79" s="5" t="s">
        <v>247</v>
      </c>
      <c r="E79" s="11"/>
      <c r="F79" s="17"/>
    </row>
    <row r="80" spans="1:6" ht="78">
      <c r="A80" s="29"/>
      <c r="B80" s="2" t="s">
        <v>144</v>
      </c>
      <c r="C80" s="3" t="s">
        <v>145</v>
      </c>
      <c r="D80" s="5" t="s">
        <v>248</v>
      </c>
      <c r="E80" s="21" t="s">
        <v>262</v>
      </c>
      <c r="F80" s="17"/>
    </row>
    <row r="81" spans="1:6" ht="109.2">
      <c r="A81" s="29"/>
      <c r="B81" s="2" t="s">
        <v>146</v>
      </c>
      <c r="C81" s="3" t="s">
        <v>147</v>
      </c>
      <c r="D81" s="5" t="s">
        <v>248</v>
      </c>
      <c r="E81" s="21" t="s">
        <v>263</v>
      </c>
      <c r="F81" s="17"/>
    </row>
    <row r="82" spans="1:6" ht="46.8">
      <c r="A82" s="29"/>
      <c r="B82" s="2" t="s">
        <v>148</v>
      </c>
      <c r="C82" s="3" t="s">
        <v>149</v>
      </c>
      <c r="D82" s="5" t="s">
        <v>247</v>
      </c>
      <c r="E82" s="11"/>
      <c r="F82" s="17"/>
    </row>
    <row r="83" spans="1:6" ht="46.8">
      <c r="A83" s="30"/>
      <c r="B83" s="2" t="s">
        <v>150</v>
      </c>
      <c r="C83" s="3" t="s">
        <v>151</v>
      </c>
      <c r="D83" s="5" t="s">
        <v>247</v>
      </c>
      <c r="E83" s="11"/>
      <c r="F83" s="17"/>
    </row>
    <row r="84" spans="1:6" ht="18">
      <c r="A84" s="28" t="s">
        <v>152</v>
      </c>
      <c r="B84" s="2" t="s">
        <v>153</v>
      </c>
      <c r="C84" s="3" t="s">
        <v>154</v>
      </c>
      <c r="D84" s="5" t="s">
        <v>248</v>
      </c>
      <c r="E84" s="20" t="s">
        <v>252</v>
      </c>
      <c r="F84" s="17"/>
    </row>
    <row r="85" spans="1:6" ht="31.2">
      <c r="A85" s="29"/>
      <c r="B85" s="2" t="s">
        <v>155</v>
      </c>
      <c r="C85" s="3" t="s">
        <v>156</v>
      </c>
      <c r="D85" s="5" t="s">
        <v>247</v>
      </c>
      <c r="E85" s="20" t="s">
        <v>253</v>
      </c>
      <c r="F85" s="17"/>
    </row>
    <row r="86" spans="1:6" ht="46.8">
      <c r="A86" s="29"/>
      <c r="B86" s="2" t="s">
        <v>157</v>
      </c>
      <c r="C86" s="3" t="s">
        <v>158</v>
      </c>
      <c r="D86" s="5" t="s">
        <v>247</v>
      </c>
      <c r="E86" s="11"/>
      <c r="F86" s="17"/>
    </row>
    <row r="87" spans="1:6" ht="31.2">
      <c r="A87" s="29"/>
      <c r="B87" s="2" t="s">
        <v>159</v>
      </c>
      <c r="C87" s="3" t="s">
        <v>160</v>
      </c>
      <c r="D87" s="5" t="s">
        <v>248</v>
      </c>
      <c r="E87" s="11" t="s">
        <v>254</v>
      </c>
      <c r="F87" s="17"/>
    </row>
    <row r="88" spans="1:6" ht="31.2">
      <c r="A88" s="29"/>
      <c r="B88" s="2" t="s">
        <v>161</v>
      </c>
      <c r="C88" s="3" t="s">
        <v>162</v>
      </c>
      <c r="D88" s="5" t="s">
        <v>247</v>
      </c>
      <c r="E88" s="11" t="s">
        <v>270</v>
      </c>
      <c r="F88" s="17"/>
    </row>
    <row r="89" spans="1:6" ht="31.2">
      <c r="A89" s="29"/>
      <c r="B89" s="2" t="s">
        <v>163</v>
      </c>
      <c r="C89" s="3" t="s">
        <v>164</v>
      </c>
      <c r="D89" s="5" t="s">
        <v>247</v>
      </c>
      <c r="E89" s="11"/>
      <c r="F89" s="17"/>
    </row>
    <row r="90" spans="1:6" ht="31.2">
      <c r="A90" s="29"/>
      <c r="B90" s="2" t="s">
        <v>165</v>
      </c>
      <c r="C90" s="3" t="s">
        <v>166</v>
      </c>
      <c r="D90" s="5" t="s">
        <v>247</v>
      </c>
      <c r="E90" s="11"/>
      <c r="F90" s="17"/>
    </row>
    <row r="91" spans="1:6" ht="31.2">
      <c r="A91" s="29"/>
      <c r="B91" s="2" t="s">
        <v>167</v>
      </c>
      <c r="C91" s="3" t="s">
        <v>168</v>
      </c>
      <c r="D91" s="5" t="s">
        <v>247</v>
      </c>
      <c r="E91" s="11"/>
      <c r="F91" s="17"/>
    </row>
    <row r="92" spans="1:6" ht="31.2">
      <c r="A92" s="29"/>
      <c r="B92" s="2" t="s">
        <v>169</v>
      </c>
      <c r="C92" s="3" t="s">
        <v>170</v>
      </c>
      <c r="D92" s="5" t="s">
        <v>247</v>
      </c>
      <c r="E92" s="11"/>
      <c r="F92" s="17"/>
    </row>
    <row r="93" spans="1:6" ht="109.2">
      <c r="A93" s="29"/>
      <c r="B93" s="2" t="s">
        <v>171</v>
      </c>
      <c r="C93" s="3" t="s">
        <v>172</v>
      </c>
      <c r="D93" s="5" t="s">
        <v>246</v>
      </c>
      <c r="E93" s="11" t="s">
        <v>255</v>
      </c>
      <c r="F93" s="40" t="s">
        <v>285</v>
      </c>
    </row>
    <row r="94" spans="1:6" ht="31.2">
      <c r="A94" s="29"/>
      <c r="B94" s="2" t="s">
        <v>173</v>
      </c>
      <c r="C94" s="3" t="s">
        <v>174</v>
      </c>
      <c r="D94" s="5" t="s">
        <v>247</v>
      </c>
      <c r="E94" s="11" t="s">
        <v>284</v>
      </c>
      <c r="F94" s="17"/>
    </row>
    <row r="95" spans="1:6" ht="78">
      <c r="A95" s="29"/>
      <c r="B95" s="2" t="s">
        <v>175</v>
      </c>
      <c r="C95" s="3" t="s">
        <v>176</v>
      </c>
      <c r="D95" s="5" t="s">
        <v>247</v>
      </c>
      <c r="E95" s="11"/>
      <c r="F95" s="17"/>
    </row>
    <row r="96" spans="1:6" ht="31.2">
      <c r="A96" s="30"/>
      <c r="B96" s="2" t="s">
        <v>177</v>
      </c>
      <c r="C96" s="3" t="s">
        <v>178</v>
      </c>
      <c r="D96" s="5" t="s">
        <v>247</v>
      </c>
      <c r="E96" s="11"/>
      <c r="F96" s="17"/>
    </row>
    <row r="97" spans="1:6" ht="31.2">
      <c r="A97" s="28" t="s">
        <v>179</v>
      </c>
      <c r="B97" s="2" t="s">
        <v>180</v>
      </c>
      <c r="C97" s="3" t="s">
        <v>181</v>
      </c>
      <c r="D97" s="5" t="s">
        <v>247</v>
      </c>
      <c r="E97" s="11"/>
      <c r="F97" s="17"/>
    </row>
    <row r="98" spans="1:6" ht="31.2">
      <c r="A98" s="29"/>
      <c r="B98" s="2" t="s">
        <v>182</v>
      </c>
      <c r="C98" s="3" t="s">
        <v>183</v>
      </c>
      <c r="D98" s="5" t="s">
        <v>247</v>
      </c>
      <c r="E98" s="11"/>
      <c r="F98" s="17"/>
    </row>
    <row r="99" spans="1:6" ht="18">
      <c r="A99" s="29"/>
      <c r="B99" s="2" t="s">
        <v>184</v>
      </c>
      <c r="C99" s="3" t="s">
        <v>185</v>
      </c>
      <c r="D99" s="5" t="s">
        <v>247</v>
      </c>
      <c r="E99" s="11"/>
      <c r="F99" s="17"/>
    </row>
    <row r="100" spans="1:6" ht="31.2">
      <c r="A100" s="29"/>
      <c r="B100" s="2" t="s">
        <v>186</v>
      </c>
      <c r="C100" s="3" t="s">
        <v>187</v>
      </c>
      <c r="D100" s="5" t="s">
        <v>247</v>
      </c>
      <c r="E100" s="11"/>
      <c r="F100" s="17"/>
    </row>
    <row r="101" spans="1:6" ht="31.2">
      <c r="A101" s="29"/>
      <c r="B101" s="2" t="s">
        <v>188</v>
      </c>
      <c r="C101" s="3" t="s">
        <v>189</v>
      </c>
      <c r="D101" s="5" t="s">
        <v>247</v>
      </c>
      <c r="E101" s="11"/>
      <c r="F101" s="17"/>
    </row>
    <row r="102" spans="1:6" ht="62.4">
      <c r="A102" s="29"/>
      <c r="B102" s="2" t="s">
        <v>190</v>
      </c>
      <c r="C102" s="3" t="s">
        <v>191</v>
      </c>
      <c r="D102" s="5" t="s">
        <v>247</v>
      </c>
      <c r="E102" s="11"/>
      <c r="F102" s="17"/>
    </row>
    <row r="103" spans="1:6" ht="31.2">
      <c r="A103" s="29"/>
      <c r="B103" s="2" t="s">
        <v>192</v>
      </c>
      <c r="C103" s="3" t="s">
        <v>193</v>
      </c>
      <c r="D103" s="5" t="s">
        <v>247</v>
      </c>
      <c r="E103" s="11"/>
      <c r="F103" s="17"/>
    </row>
    <row r="104" spans="1:6" ht="18">
      <c r="A104" s="29"/>
      <c r="B104" s="2" t="s">
        <v>194</v>
      </c>
      <c r="C104" s="3" t="s">
        <v>195</v>
      </c>
      <c r="D104" s="5" t="s">
        <v>248</v>
      </c>
      <c r="E104" s="11" t="s">
        <v>260</v>
      </c>
      <c r="F104" s="17"/>
    </row>
    <row r="105" spans="1:6" ht="31.2">
      <c r="A105" s="29"/>
      <c r="B105" s="2" t="s">
        <v>196</v>
      </c>
      <c r="C105" s="3" t="s">
        <v>197</v>
      </c>
      <c r="D105" s="5" t="s">
        <v>248</v>
      </c>
      <c r="E105" s="20" t="s">
        <v>261</v>
      </c>
      <c r="F105" s="17"/>
    </row>
    <row r="106" spans="1:6" ht="46.8">
      <c r="A106" s="29"/>
      <c r="B106" s="2" t="s">
        <v>198</v>
      </c>
      <c r="C106" s="3" t="s">
        <v>199</v>
      </c>
      <c r="D106" s="5" t="s">
        <v>247</v>
      </c>
      <c r="E106" s="11"/>
      <c r="F106" s="17"/>
    </row>
    <row r="107" spans="1:6" ht="46.8">
      <c r="A107" s="30"/>
      <c r="B107" s="2" t="s">
        <v>200</v>
      </c>
      <c r="C107" s="3" t="s">
        <v>201</v>
      </c>
      <c r="D107" s="5" t="s">
        <v>247</v>
      </c>
      <c r="E107" s="11"/>
      <c r="F107" s="17"/>
    </row>
    <row r="108" spans="1:6" ht="31.2">
      <c r="A108" s="28" t="s">
        <v>202</v>
      </c>
      <c r="B108" s="2" t="s">
        <v>203</v>
      </c>
      <c r="C108" s="3" t="s">
        <v>204</v>
      </c>
      <c r="D108" s="5" t="s">
        <v>247</v>
      </c>
      <c r="E108" s="11"/>
      <c r="F108" s="17"/>
    </row>
    <row r="109" spans="1:6" ht="46.8">
      <c r="A109" s="29"/>
      <c r="B109" s="2" t="s">
        <v>205</v>
      </c>
      <c r="C109" s="3" t="s">
        <v>206</v>
      </c>
      <c r="D109" s="5" t="s">
        <v>247</v>
      </c>
      <c r="E109" s="11"/>
      <c r="F109" s="17"/>
    </row>
    <row r="110" spans="1:6" ht="46.8">
      <c r="A110" s="29"/>
      <c r="B110" s="2" t="s">
        <v>207</v>
      </c>
      <c r="C110" s="3" t="s">
        <v>208</v>
      </c>
      <c r="D110" s="5" t="s">
        <v>247</v>
      </c>
      <c r="E110" s="11"/>
      <c r="F110" s="17"/>
    </row>
    <row r="111" spans="1:6" ht="31.2">
      <c r="A111" s="29"/>
      <c r="B111" s="2" t="s">
        <v>209</v>
      </c>
      <c r="C111" s="3" t="s">
        <v>210</v>
      </c>
      <c r="D111" s="5" t="s">
        <v>247</v>
      </c>
      <c r="E111" s="11"/>
      <c r="F111" s="17"/>
    </row>
    <row r="112" spans="1:6" ht="31.2">
      <c r="A112" s="29"/>
      <c r="B112" s="2" t="s">
        <v>211</v>
      </c>
      <c r="C112" s="3" t="s">
        <v>212</v>
      </c>
      <c r="D112" s="5" t="s">
        <v>247</v>
      </c>
      <c r="E112" s="11"/>
      <c r="F112" s="17"/>
    </row>
    <row r="113" spans="1:6" ht="46.8">
      <c r="A113" s="29"/>
      <c r="B113" s="2" t="s">
        <v>213</v>
      </c>
      <c r="C113" s="3" t="s">
        <v>214</v>
      </c>
      <c r="D113" s="5" t="s">
        <v>247</v>
      </c>
      <c r="E113" s="11"/>
      <c r="F113" s="17"/>
    </row>
    <row r="114" spans="1:6" ht="31.2">
      <c r="A114" s="29"/>
      <c r="B114" s="2" t="s">
        <v>215</v>
      </c>
      <c r="C114" s="3" t="s">
        <v>216</v>
      </c>
      <c r="D114" s="5" t="s">
        <v>247</v>
      </c>
      <c r="E114" s="11"/>
      <c r="F114" s="17"/>
    </row>
    <row r="115" spans="1:6" ht="31.2">
      <c r="A115" s="29"/>
      <c r="B115" s="2" t="s">
        <v>217</v>
      </c>
      <c r="C115" s="3" t="s">
        <v>218</v>
      </c>
      <c r="D115" s="5" t="s">
        <v>247</v>
      </c>
      <c r="E115" s="11"/>
      <c r="F115" s="17"/>
    </row>
    <row r="116" spans="1:6" ht="31.2">
      <c r="A116" s="29"/>
      <c r="B116" s="2" t="s">
        <v>219</v>
      </c>
      <c r="C116" s="3" t="s">
        <v>220</v>
      </c>
      <c r="D116" s="5" t="s">
        <v>247</v>
      </c>
      <c r="E116" s="11"/>
      <c r="F116" s="17"/>
    </row>
    <row r="117" spans="1:6" ht="46.8">
      <c r="A117" s="29"/>
      <c r="B117" s="2" t="s">
        <v>221</v>
      </c>
      <c r="C117" s="3" t="s">
        <v>222</v>
      </c>
      <c r="D117" s="5" t="s">
        <v>247</v>
      </c>
      <c r="E117" s="11"/>
      <c r="F117" s="17"/>
    </row>
    <row r="118" spans="1:6" ht="46.8">
      <c r="A118" s="29"/>
      <c r="B118" s="2" t="s">
        <v>223</v>
      </c>
      <c r="C118" s="3" t="s">
        <v>224</v>
      </c>
      <c r="D118" s="5" t="s">
        <v>247</v>
      </c>
      <c r="E118" s="11"/>
      <c r="F118" s="17"/>
    </row>
    <row r="119" spans="1:6" ht="46.8">
      <c r="A119" s="30"/>
      <c r="B119" s="2" t="s">
        <v>225</v>
      </c>
      <c r="C119" s="3" t="s">
        <v>226</v>
      </c>
      <c r="D119" s="5" t="s">
        <v>247</v>
      </c>
      <c r="E119" s="11"/>
      <c r="F119" s="17"/>
    </row>
    <row r="120" spans="1:6" ht="18">
      <c r="D120" s="5"/>
    </row>
    <row r="123" spans="1:6">
      <c r="A123" s="38" t="s">
        <v>235</v>
      </c>
      <c r="B123" s="38"/>
      <c r="C123" s="38"/>
      <c r="D123" s="38"/>
      <c r="E123" s="10" t="s">
        <v>236</v>
      </c>
    </row>
    <row r="124" spans="1:6" ht="259.05" customHeight="1">
      <c r="A124" s="39" t="s">
        <v>277</v>
      </c>
      <c r="B124" s="39"/>
      <c r="C124" s="39"/>
      <c r="D124" s="39"/>
      <c r="E124" s="12" t="s">
        <v>278</v>
      </c>
    </row>
    <row r="125" spans="1:6">
      <c r="A125" s="35" t="s">
        <v>268</v>
      </c>
      <c r="B125" s="36"/>
      <c r="C125" s="36"/>
      <c r="D125" s="37"/>
      <c r="E125" s="15" t="s">
        <v>269</v>
      </c>
    </row>
    <row r="126" spans="1:6" ht="31.2">
      <c r="A126" s="35" t="s">
        <v>271</v>
      </c>
      <c r="B126" s="36"/>
      <c r="C126" s="36"/>
      <c r="D126" s="37"/>
      <c r="E126" s="12" t="s">
        <v>272</v>
      </c>
    </row>
    <row r="127" spans="1:6" ht="31.2">
      <c r="A127" s="35" t="s">
        <v>273</v>
      </c>
      <c r="B127" s="36"/>
      <c r="C127" s="36"/>
      <c r="D127" s="37"/>
      <c r="E127" s="12" t="s">
        <v>274</v>
      </c>
    </row>
    <row r="128" spans="1:6" ht="31.2">
      <c r="A128" s="35" t="s">
        <v>275</v>
      </c>
      <c r="B128" s="36"/>
      <c r="C128" s="36"/>
      <c r="D128" s="37"/>
      <c r="E128" s="12" t="s">
        <v>276</v>
      </c>
    </row>
  </sheetData>
  <mergeCells count="30">
    <mergeCell ref="A128:D128"/>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 ref="A10:C10"/>
    <mergeCell ref="A7:C7"/>
    <mergeCell ref="A14:A22"/>
    <mergeCell ref="A23:A24"/>
    <mergeCell ref="A25:A27"/>
    <mergeCell ref="A1:D1"/>
    <mergeCell ref="A5:C5"/>
    <mergeCell ref="A6:C6"/>
    <mergeCell ref="A8:C8"/>
    <mergeCell ref="A9:C9"/>
    <mergeCell ref="A3:C3"/>
    <mergeCell ref="A4:C4"/>
    <mergeCell ref="A2:C2"/>
  </mergeCells>
  <conditionalFormatting sqref="D84:D86 D86:E104 E117:E119 D117:D120 D105 D106:E116 D14:E69 D70:D73 D74:E79 D80:D81 D82:E83">
    <cfRule type="expression" dxfId="14" priority="14">
      <formula>$D14="Dérogé"</formula>
    </cfRule>
  </conditionalFormatting>
  <conditionalFormatting sqref="D84:D86 E117:E119 D117:D120">
    <cfRule type="expression" dxfId="13" priority="13">
      <formula>$D84="Non testé"</formula>
    </cfRule>
  </conditionalFormatting>
  <conditionalFormatting sqref="D14:E69 D70:D73 D74:E79 D80:D81 D82:E83 D84:D86 D86:E104 D105 D106:E116 E117:E119 D117:D120">
    <cfRule type="expression" dxfId="12" priority="15">
      <formula>$D14="Conforme"</formula>
    </cfRule>
    <cfRule type="expression" dxfId="11" priority="16">
      <formula>$D14="Non conforme"</formula>
    </cfRule>
  </conditionalFormatting>
  <conditionalFormatting sqref="D14:E83">
    <cfRule type="expression" dxfId="10" priority="1">
      <formula>$D14="Non testé"</formula>
    </cfRule>
  </conditionalFormatting>
  <conditionalFormatting sqref="D86:E116">
    <cfRule type="expression" dxfId="9" priority="7">
      <formula>$D86="Non testé"</formula>
    </cfRule>
  </conditionalFormatting>
  <conditionalFormatting sqref="E70:E73">
    <cfRule type="expression" dxfId="8" priority="2">
      <formula>$D70="Conforme"</formula>
    </cfRule>
    <cfRule type="expression" dxfId="7" priority="3">
      <formula>$D70="Non conforme"</formula>
    </cfRule>
  </conditionalFormatting>
  <conditionalFormatting sqref="E80:E81">
    <cfRule type="expression" dxfId="6" priority="5">
      <formula>$D80="Conforme"</formula>
    </cfRule>
    <cfRule type="expression" dxfId="5" priority="6">
      <formula>$D80="Non conforme"</formula>
    </cfRule>
  </conditionalFormatting>
  <conditionalFormatting sqref="E84:E85">
    <cfRule type="expression" dxfId="4" priority="10">
      <formula>$D84="Non testé"</formula>
    </cfRule>
    <cfRule type="expression" dxfId="3" priority="11">
      <formula>$D84="Conforme"</formula>
    </cfRule>
    <cfRule type="expression" dxfId="2" priority="12">
      <formula>$D84="Non conforme"</formula>
    </cfRule>
  </conditionalFormatting>
  <conditionalFormatting sqref="E105">
    <cfRule type="expression" dxfId="1" priority="8">
      <formula>$D105="Conforme"</formula>
    </cfRule>
    <cfRule type="expression" dxfId="0" priority="9">
      <formula>$D105="Non conforme"</formula>
    </cfRule>
  </conditionalFormatting>
  <dataValidations count="2">
    <dataValidation type="list" allowBlank="1" showInputMessage="1" showErrorMessage="1" sqref="D14:D120" xr:uid="{00000000-0002-0000-0200-000000000000}">
      <formula1>"Conforme,Non conforme,Non applicable,Dérogé,Non testé"</formula1>
    </dataValidation>
    <dataValidation allowBlank="1" showInputMessage="1" showErrorMessage="1" prompt="Format JJ/MM/AAAA" sqref="D3" xr:uid="{00000000-0002-0000-0200-000001000000}"/>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SyCheckbox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2026-07-03T07:15:18Z</dcterms:modified>
</cp:coreProperties>
</file>
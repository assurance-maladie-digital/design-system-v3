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xr:revisionPtr revIDLastSave="0" documentId="8_{C7DE75A0-3546-4DED-BED1-3FA26716477D}" xr6:coauthVersionLast="47" xr6:coauthVersionMax="47" xr10:uidLastSave="{00000000-0000-0000-0000-000000000000}"/>
  <bookViews>
    <workbookView xWindow="0" yWindow="0" windowWidth="16384" windowHeight="8192" tabRatio="500" xr2:uid="{00000000-000D-0000-FFFF-FFFF00000000}"/>
  </bookViews>
  <sheets>
    <sheet name="ContextualMenu"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 i="1" l="1"/>
  <c r="D8" i="1"/>
  <c r="D7" i="1"/>
  <c r="D6" i="1"/>
  <c r="D5" i="1"/>
  <c r="D10" i="1" l="1"/>
  <c r="D11" i="1" s="1"/>
</calcChain>
</file>

<file path=xl/sharedStrings.xml><?xml version="1.0" encoding="utf-8"?>
<sst xmlns="http://schemas.openxmlformats.org/spreadsheetml/2006/main" count="387" uniqueCount="284">
  <si>
    <t>Composant : ContextualMenu</t>
  </si>
  <si>
    <t>Audit</t>
  </si>
  <si>
    <t>Audit V1</t>
  </si>
  <si>
    <t>Correction post audit V1 - (voir - https://github.com/assurance-maladie-digital/design-system-v3/issues/658)</t>
  </si>
  <si>
    <t>Date</t>
  </si>
  <si>
    <t>21/07/2025</t>
  </si>
  <si>
    <t>Version</t>
  </si>
  <si>
    <t>0.0.15-alpha</t>
  </si>
  <si>
    <t>1.0.3</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</si>
  <si>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</si>
  <si>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</si>
  <si>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</si>
  <si>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</si>
  <si>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</si>
  <si>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</si>
  <si>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</si>
  <si>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</si>
  <si>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</si>
  <si>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</si>
  <si>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</si>
  <si>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</si>
  <si>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</si>
  <si>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</si>
  <si>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</si>
  <si>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</si>
  <si>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</si>
  <si>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</si>
  <si>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</si>
  <si>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</si>
  <si>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</si>
  <si>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</si>
  <si>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</si>
  <si>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</si>
  <si>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</si>
  <si>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</si>
  <si>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</si>
  <si>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</si>
  <si>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</si>
  <si>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</si>
  <si>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</si>
  <si>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</si>
  <si>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</si>
  <si>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</si>
  <si>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</si>
  <si>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</si>
  <si>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</si>
  <si>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</si>
  <si>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</si>
  <si>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</si>
  <si>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</si>
  <si>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</si>
  <si>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</si>
  <si>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Conforme</t>
  </si>
  <si>
    <t>Theme clair :
    - normal/hover : fond blanc, texte gris 14px =&gt; 5,74 (conforme)
    - active : fond blanc, texte bleu 14px =&gt; 9,38 (conforme)
Recommandation uniquement =&gt;Theme sombre :
    - normal/hover :  fond noir, texte gris clair 14px =&gt; 9,43 (conforme)
    - active : fond noir, texte bleu 14px =&gt; 6 (conforme)</t>
  </si>
  <si>
    <t>3.3</t>
  </si>
  <si>
    <t>Dans chaque page web, les couleurs utilisées dans les composants d’interface ou les éléments graphiques porteurs d’informations sont-elles suffisamment contrastées (hors cas particuliers) ?</t>
  </si>
  <si>
    <t>Theme clair :
    - bordure :
        - normal/hover : fond blanc, bordure grise =&gt; 5,74 (conforme)
        - active : fond blanc, bordure bleue =&gt; 9,38 (conforme)
    - focus ring sur le menu item (aucun changement sur le texte) :  fond blanc, focus ring bleu =&gt; 4 (conforme)
Recommandation uniquement =&gt; Theme sombre :
    - bordure :
        - normal/hover : fond noir, bordure noire =&gt; 1,1 (non conforme)
        - active : fond noir, bordure bleue =&gt; 6 (conforme)
    - focus ring sur le menu item (aucun changement sur le texte) :  fond noir, focus ring bleu =&gt; 4,7 (conforme)</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</si>
  <si>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</si>
  <si>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</si>
  <si>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</si>
  <si>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</si>
  <si>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</si>
  <si>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</si>
  <si>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</si>
  <si>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</si>
  <si>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</si>
  <si>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</si>
  <si>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</si>
  <si>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</si>
  <si>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</si>
  <si>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</si>
  <si>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</si>
  <si>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</si>
  <si>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</si>
  <si>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</si>
  <si>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</si>
  <si>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</si>
  <si>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</si>
  <si>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</si>
  <si>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</si>
  <si>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</si>
  <si>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</si>
  <si>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</si>
  <si>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</si>
  <si>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</si>
  <si>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</si>
  <si>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</si>
  <si>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</si>
  <si>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</si>
  <si>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</si>
  <si>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</si>
  <si>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</si>
  <si>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</si>
  <si>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</si>
  <si>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</si>
  <si>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</si>
  <si>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</si>
  <si>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</si>
  <si>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</si>
  <si>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</si>
  <si>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</si>
  <si>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</si>
  <si>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</si>
  <si>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</si>
  <si>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C'est au contributeur de s'assurer que le lien qu'il indique est explicite.</t>
  </si>
  <si>
    <t>6.2</t>
  </si>
  <si>
    <t>Dans chaque page web, chaque lien a-t-il un intitulé ?</t>
  </si>
  <si>
    <t>Les items du menu sont des liens et possèdent tous des intitulés.</t>
  </si>
  <si>
    <t>SCRIPTS</t>
  </si>
  <si>
    <t>7.1</t>
  </si>
  <si>
    <t>Chaque script est-il, si nécessaire, compatible avec les technologies d’assistance ?</t>
  </si>
  <si>
    <t>Non conforme</t>
  </si>
  <si>
    <t>- via le lecteur d'écran, aucun nom n'est donné au menu contextuel : ajouter un aria-label (ou aria-labelledby si titre visible) sur la balise nav.
- chaque section( vers laquelle un menu item  redirige) doit être "focusable". C'est pourquoi il faut y ajouter un tabindex="-1" et donner le focus à la section via script. Nul besoin de l'ajouter si l'élément cible est nativement focusable (ex: un lien "a"). Par ailleurs, les sections doivent posséder un nom accessible (aria-labelledby du titre hx) ou l'élément cible doit être directement le titre (donc celui-ci portera le tabindex="-1" et prendra le focus au script).</t>
  </si>
  <si>
    <t>Ajout d'une prop requise pour obliger l'usage d'un aria-label. Modification des examples de la documentation</t>
  </si>
  <si>
    <t>7.2</t>
  </si>
  <si>
    <t>Pour chaque script ayant une alternative, cette alternative est-elle pertinente ?</t>
  </si>
  <si>
    <t>7.3</t>
  </si>
  <si>
    <t>Chaque script est-il contrôlable par le clavier et par tout dispositif de pointage (hors cas particuliers) ?</t>
  </si>
  <si>
    <t>Le menu contextuel est navigable via le clavier en faisant Tab (ou Shift-Tab) entre les menuitems.</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</si>
  <si>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</si>
  <si>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</si>
  <si>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</si>
  <si>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</si>
  <si>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</si>
  <si>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</si>
  <si>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</si>
  <si>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</si>
  <si>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</si>
  <si>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Validé par le validateur W3C</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</si>
  <si>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</si>
  <si>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</si>
  <si>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</si>
  <si>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</si>
  <si>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</si>
  <si>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</si>
  <si>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</si>
  <si>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</si>
  <si>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</si>
  <si>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</si>
  <si>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</si>
  <si>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</si>
  <si>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</si>
  <si>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</si>
  <si>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</si>
  <si>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</si>
  <si>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</si>
  <si>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</si>
  <si>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</si>
  <si>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</si>
  <si>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</si>
  <si>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Le composant devrait etre présent au sein d'une balise nav. De plus, dans le cas de sous-niveau, la structure doit être faite sous forme de listes à puces imbriquées.</t>
  </si>
  <si>
    <t>ajout d'une structure en profondeure</t>
  </si>
  <si>
    <t>9.3</t>
  </si>
  <si>
    <t>Dans chaque page web, chaque liste est-elle correctement structurée ?</t>
  </si>
  <si>
    <t>Les items du menu sont bien présent dans une liste à puce ul/li</t>
  </si>
  <si>
    <t>9.4</t>
  </si>
  <si>
    <t>Dans chaque page web, chaque citation est-elle correctement indiquée ?</t>
  </si>
  <si>
    <t>PRÉSENTATION</t>
  </si>
  <si>
    <t>10.1</t>
  </si>
  <si>
    <t>Dans le site web, des feuilles de styles sont-elles utilisées pour contrôler la présentation de l’information ?</t>
  </si>
  <si>
    <t xml:space="preserve">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
</t>
  </si>
  <si>
    <t>10.2</t>
  </si>
  <si>
    <t>Dans chaque page web, le contenu visible porteur d’information reste-t-il présent lorsque les feuilles de styles sont désactivées ?</t>
  </si>
  <si>
    <t>Le contenu porteur d'information reste visible à la désactivation des feuilles de styles.</t>
  </si>
  <si>
    <t>10.3</t>
  </si>
  <si>
    <t>Dans chaque page web, l’information reste-t-elle compréhensible lorsque les feuilles de styles sont désactivées ?</t>
  </si>
  <si>
    <t>L'information reste compréhensible lorsque les feuilles de styles sont désactivées : menu contextuel sous forme de liste à puces avec liens.
En revanche, dans le cas du menu avec des sous-niveaux, la structure n'est pas adaptée donc on ne détecte pas à quel niveau un menu item est lié (voir 9.2)</t>
  </si>
  <si>
    <t>voir 9.2</t>
  </si>
  <si>
    <t>10.4</t>
  </si>
  <si>
    <t>Dans chaque page web, le texte reste-t-il lisible lorsque la taille des caractères est augmentée jusqu’à 200%, au moins (hors cas particuliers) ?</t>
  </si>
  <si>
    <t>Testé en mode "text only" ou normal. Le texte reste lisible à 200%.</t>
  </si>
  <si>
    <t>10.5</t>
  </si>
  <si>
    <t>Dans chaque page web, les déclarations CSS de couleurs de fond d’élément et de police sont-elles correctement utilisées ?</t>
  </si>
  <si>
    <t>Le composant n'intègre pas de fond. C'est au contributeur de s'assurer qu'un composant parent possède bien un couleur et que le niveau de contraste est suffisant (testé avec les fonds par défaut blanc/noir pour les critères 3.x)</t>
  </si>
  <si>
    <t>10.6</t>
  </si>
  <si>
    <t>Dans chaque page web, chaque lien dont la nature n’est pas évidente est-il visible par rapport au texte environnant ?</t>
  </si>
  <si>
    <t>10.7</t>
  </si>
  <si>
    <t>Dans chaque page web, pour chaque élément recevant le focus, la prise de focus est-elle visible ?</t>
  </si>
  <si>
    <t>Focus menu item ok : présence d'un focus-visible et contraste ok (voir 3.3)</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</si>
  <si>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</si>
  <si>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</si>
  <si>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</si>
  <si>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</si>
  <si>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L'activation d'un item est donné que par sa forme. Il faut également ajouter un aria-current="true" sur le lien. Notez que si le composant redirige vers des pages, et non des sections internes à la page, il faut utiliser aria-current="page".</t>
  </si>
  <si>
    <t>ajout de la propriété 'aria-current'</t>
  </si>
  <si>
    <t>10.10</t>
  </si>
  <si>
    <t>Dans chaque page web, l’information ne doit pas être donnée par la forme, taille ou position uniquement. Cette règle est-elle implémentée de façon pertinente ?</t>
  </si>
  <si>
    <t>À vérifier après correctif 10.9</t>
  </si>
  <si>
    <t>voir 10.9</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</si>
  <si>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</si>
  <si>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</si>
  <si>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Testé avec le composant par défaut du DS =&gt; aucun troncage ni perte de fonctionnalité</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</si>
  <si>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</si>
  <si>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</si>
  <si>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</si>
  <si>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</si>
  <si>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</si>
  <si>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</si>
  <si>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</si>
  <si>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</si>
  <si>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</si>
  <si>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</si>
  <si>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</si>
  <si>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</si>
  <si>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</si>
  <si>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</si>
  <si>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</si>
  <si>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</si>
  <si>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</si>
  <si>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</si>
  <si>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</si>
  <si>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</si>
  <si>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</si>
  <si>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</si>
  <si>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</si>
  <si>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</si>
  <si>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</si>
  <si>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</si>
  <si>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</si>
  <si>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</si>
  <si>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</si>
  <si>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</si>
  <si>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</si>
  <si>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</si>
  <si>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</si>
  <si>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</si>
  <si>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</si>
  <si>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</si>
  <si>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</si>
  <si>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</si>
  <si>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</si>
  <si>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</si>
  <si>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</si>
  <si>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</si>
  <si>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</si>
  <si>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</si>
  <si>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</si>
  <si>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</si>
  <si>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</si>
  <si>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</si>
  <si>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</si>
  <si>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</si>
  <si>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</si>
  <si>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La tabulation respecte l'ordre des sections.</t>
  </si>
  <si>
    <t>12.9</t>
  </si>
  <si>
    <t>Dans chaque page web, la navigation ne doit pas contenir de piège au clavier. Cette règle est-elle respectée ?</t>
  </si>
  <si>
    <t>Test avec tabulation conforme =&gt; aucun piège au clavier</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</si>
  <si>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</si>
  <si>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</si>
  <si>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</si>
  <si>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</si>
  <si>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</si>
  <si>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</si>
  <si>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</si>
  <si>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</si>
  <si>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</si>
  <si>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</si>
  <si>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</si>
  <si>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</si>
  <si>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</si>
  <si>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</si>
  <si>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</si>
  <si>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</si>
  <si>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</si>
  <si>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</si>
  <si>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</si>
  <si>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</si>
  <si>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</si>
  <si>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</si>
  <si>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</si>
  <si>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</si>
  <si>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</si>
  <si>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</si>
  <si>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</si>
  <si>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</si>
  <si>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</si>
  <si>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</si>
  <si>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</si>
  <si>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 menu contextuel doit être inclus dans une balise de navigation et avoir un nom accessible via aria-label ou aria-labelledby si titre visible</t>
  </si>
  <si>
    <t>- https://www.w3.org/WAI/ARIA/apg/patterns/menubar/examples/menubar-navigation/
- https://www.w3.org/WAI/WCAG21/Techniques/aria/ARIA11</t>
  </si>
  <si>
    <t>La position courante dans une navigation est identifiée (menu item actif) via l'attribut "aria-current"</t>
  </si>
  <si>
    <t>- https://www.accede-web.com/notices/html-et-css/bonnes-pratiques/identifier-la-position-courante-dans-les-systemes-de-navigation-avec-aria-current/
- https://www.w3.org/TR/wai-aria-1.2/#aria-current</t>
  </si>
  <si>
    <t>La section (contenu) doit posséder l'attribut tabindex="-1" (focusable via script) ou l'élément cible doit être focusable.</t>
  </si>
  <si>
    <t>- https://www.systeme-de-design.gouv.fr/composants-et-modeles/composants/sommaire/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</si>
</sst>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 %"/>
  </numFmts>
  <fonts count="12">
    <font>
      <sz val="12"/>
      <color theme="1"/>
      <name val="Aptos Narrow"/>
      <family val="2"/>
    </font>
    <font>
      <sz val="12"/>
      <color theme="1"/>
      <name val="Aptos Narrow"/>
    </font>
    <font>
      <b/>
      <sz val="12"/>
      <color theme="1"/>
      <name val="Aptos Narrow"/>
    </font>
    <font>
      <b/>
      <sz val="14"/>
      <color theme="1"/>
      <name val="Aptos Narrow"/>
    </font>
    <font>
      <sz val="14"/>
      <color theme="1"/>
      <name val="Aptos Narrow"/>
    </font>
    <font>
      <b/>
      <sz val="14"/>
      <color theme="0"/>
      <name val="Aptos Narrow"/>
      <family val="2"/>
    </font>
    <font>
      <sz val="14"/>
      <color theme="1"/>
      <name val="Aptos Narrow"/>
      <family val="2"/>
    </font>
    <font>
      <sz val="12"/>
      <color theme="0"/>
      <name val="Aptos Narrow"/>
    </font>
    <font>
      <u/>
      <sz val="12"/>
      <color theme="10"/>
      <name val="Aptos Narrow"/>
      <family val="2"/>
    </font>
    <font>
      <sz val="12"/>
      <color theme="1"/>
      <name val="Aptos Narrow"/>
      <family val="2"/>
    </font>
    <font>
      <sz val="12"/>
      <color rgb="FF275317"/>
      <name val="Aptos Narrow"/>
    </font>
    <font>
      <sz val="12"/>
      <color theme="9" tint="-0.499984740745262"/>
      <name val="Aptos Narrow"/>
    </font>
  </fonts>
  <fills count="5">
    <fill>
      <patternFill patternType="none"/>
    </fill>
    <fill>
      <patternFill patternType="gray125"/>
    </fill>
    <fill>
      <patternFill patternType="solid">
        <fgColor rgb="FF000091"/>
        <bgColor rgb="FF000080"/>
      </patternFill>
    </fill>
    <fill>
      <patternFill patternType="solid">
        <fgColor theme="0"/>
        <bgColor rgb="FFFFFFCC"/>
      </patternFill>
    </fill>
    <fill>
      <patternFill patternType="solid">
        <fgColor rgb="FFC6EFCE"/>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s>
  <cellStyleXfs count="3">
    <xf numFmtId="0" fontId="0" fillId="0" borderId="0"/>
    <xf numFmtId="165" fontId="9" fillId="0" borderId="0" applyBorder="0" applyProtection="0"/>
    <xf numFmtId="0" fontId="8" fillId="0" borderId="0" applyBorder="0" applyProtection="0"/>
  </cellStyleXfs>
  <cellXfs count="32">
    <xf numFmtId="0" fontId="0" fillId="0" borderId="0" xfId="0"/>
    <xf numFmtId="0" fontId="1" fillId="0" borderId="1" xfId="0" applyFont="1" applyBorder="1" applyAlignment="1">
      <alignment horizontal="left" vertical="top" wrapText="1"/>
    </xf>
    <xf numFmtId="0" fontId="7" fillId="2" borderId="1" xfId="0" applyFont="1" applyFill="1" applyBorder="1" applyAlignment="1">
      <alignment horizontal="left"/>
    </xf>
    <xf numFmtId="0" fontId="2" fillId="2" borderId="1" xfId="0" applyFont="1" applyFill="1" applyBorder="1" applyAlignment="1">
      <alignment horizontal="center" vertical="center" textRotation="90" wrapText="1"/>
    </xf>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2" fillId="2" borderId="0" xfId="0" applyFont="1" applyFill="1" applyAlignment="1">
      <alignment horizontal="center" vertical="center" wrapText="1"/>
    </xf>
    <xf numFmtId="0" fontId="1" fillId="0" borderId="0" xfId="0" applyFont="1"/>
    <xf numFmtId="0" fontId="1" fillId="0" borderId="0" xfId="0" applyFont="1" applyAlignment="1">
      <alignment wrapText="1"/>
    </xf>
    <xf numFmtId="0" fontId="4" fillId="0" borderId="0" xfId="0" applyFont="1" applyAlignment="1">
      <alignment wrapText="1"/>
    </xf>
    <xf numFmtId="0" fontId="4" fillId="0" borderId="0" xfId="0" applyFont="1"/>
    <xf numFmtId="164" fontId="4" fillId="0" borderId="1" xfId="0" applyNumberFormat="1" applyFont="1" applyBorder="1"/>
    <xf numFmtId="0" fontId="4" fillId="0" borderId="1" xfId="0" applyFont="1" applyBorder="1" applyAlignment="1">
      <alignment horizontal="right" vertical="top"/>
    </xf>
    <xf numFmtId="0" fontId="4" fillId="0" borderId="1" xfId="0" applyFont="1" applyBorder="1" applyAlignment="1">
      <alignment horizontal="right"/>
    </xf>
    <xf numFmtId="0" fontId="4" fillId="0" borderId="1" xfId="0" applyFont="1" applyBorder="1"/>
    <xf numFmtId="0" fontId="5" fillId="2" borderId="1" xfId="0" applyFont="1" applyFill="1" applyBorder="1"/>
    <xf numFmtId="0" fontId="5" fillId="2" borderId="2" xfId="0" applyFont="1" applyFill="1" applyBorder="1"/>
    <xf numFmtId="0" fontId="5" fillId="2" borderId="3" xfId="0" applyFont="1" applyFill="1" applyBorder="1" applyAlignment="1">
      <alignment wrapText="1"/>
    </xf>
    <xf numFmtId="0" fontId="1" fillId="0" borderId="4" xfId="0" applyFont="1" applyBorder="1" applyAlignment="1">
      <alignment horizontal="left" vertical="center" wrapText="1"/>
    </xf>
    <xf numFmtId="0" fontId="6" fillId="3" borderId="5" xfId="0" applyFont="1" applyFill="1" applyBorder="1" applyAlignment="1">
      <alignment horizontal="left" vertical="top"/>
    </xf>
    <xf numFmtId="0" fontId="1" fillId="0" borderId="1" xfId="0" applyFont="1" applyBorder="1" applyAlignment="1">
      <alignment horizontal="left" vertical="top" wrapText="1"/>
    </xf>
    <xf numFmtId="0" fontId="7" fillId="2" borderId="1" xfId="0" applyFont="1" applyFill="1" applyBorder="1"/>
    <xf numFmtId="0" fontId="8" fillId="0" borderId="1" xfId="2" applyBorder="1" applyAlignment="1" applyProtection="1">
      <alignment horizontal="left" vertical="top" wrapText="1"/>
    </xf>
    <xf numFmtId="164" fontId="4" fillId="0" borderId="1" xfId="0" applyNumberFormat="1" applyFont="1" applyBorder="1" applyAlignment="1">
      <alignment horizontal="right"/>
    </xf>
    <xf numFmtId="0" fontId="10" fillId="4"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3" fillId="0" borderId="1" xfId="0" applyFont="1" applyBorder="1" applyAlignment="1">
      <alignment horizontal="right"/>
    </xf>
    <xf numFmtId="0" fontId="4" fillId="0" borderId="1" xfId="0" applyFont="1" applyBorder="1" applyAlignment="1">
      <alignment horizontal="left" vertical="top" wrapText="1"/>
    </xf>
    <xf numFmtId="165" fontId="3" fillId="0" borderId="1" xfId="1" applyFont="1" applyBorder="1" applyProtection="1"/>
    <xf numFmtId="165" fontId="3" fillId="0" borderId="1" xfId="0" applyNumberFormat="1" applyFont="1" applyBorder="1"/>
    <xf numFmtId="0" fontId="1" fillId="0" borderId="0" xfId="0" applyFont="1" applyAlignment="1">
      <alignment horizontal="center" vertical="center" wrapText="1"/>
    </xf>
    <xf numFmtId="0" fontId="2" fillId="0" borderId="4" xfId="0" applyFont="1" applyBorder="1" applyAlignment="1">
      <alignment horizontal="center" vertical="center" wrapText="1"/>
    </xf>
  </cellXfs>
  <cellStyles count="3">
    <cellStyle name="Lien hypertexte" xfId="2" builtinId="8"/>
    <cellStyle name="Normal" xfId="0" builtinId="0"/>
    <cellStyle name="Pourcentage" xfId="1" builtinId="5"/>
  </cellStyles>
  <dxfs count="28">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78206E"/>
        <name val="Aptos Narrow"/>
        <family val="2"/>
      </font>
      <fill>
        <patternFill>
          <bgColor theme="8" tint="0.79989013336588644"/>
        </patternFill>
      </fill>
    </dxf>
    <dxf>
      <font>
        <sz val="12"/>
        <color rgb="FF9C5700"/>
        <name val="Aptos Narrow"/>
        <family val="2"/>
      </font>
      <fill>
        <patternFill>
          <bgColor rgb="FFFFEB9C"/>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78206E"/>
        <name val="Aptos Narrow"/>
        <family val="2"/>
      </font>
      <fill>
        <patternFill>
          <bgColor theme="8" tint="0.79979857783745845"/>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78206E"/>
        <name val="Aptos Narrow"/>
        <family val="2"/>
      </font>
      <fill>
        <patternFill>
          <bgColor theme="8" tint="0.79989013336588644"/>
        </patternFill>
      </fill>
    </dxf>
    <dxf>
      <font>
        <sz val="12"/>
        <color rgb="FF9C5700"/>
        <name val="Aptos Narrow"/>
        <family val="2"/>
      </font>
      <fill>
        <patternFill>
          <bgColor rgb="FFFFEB9C"/>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78206E"/>
        <name val="Aptos Narrow"/>
        <family val="2"/>
      </font>
      <fill>
        <patternFill>
          <bgColor theme="8" tint="0.79989013336588644"/>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78206E"/>
        <name val="Aptos Narrow"/>
        <family val="2"/>
      </font>
      <fill>
        <patternFill>
          <bgColor theme="8" tint="0.79989013336588644"/>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78206E"/>
        <name val="Aptos Narrow"/>
        <family val="2"/>
      </font>
      <fill>
        <patternFill>
          <bgColor theme="8" tint="0.79989013336588644"/>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78206E"/>
        <name val="Aptos Narrow"/>
        <family val="2"/>
      </font>
      <fill>
        <patternFill>
          <bgColor theme="8" tint="0.79979857783745845"/>
        </patternFill>
      </fill>
    </dxf>
    <dxf>
      <font>
        <sz val="12"/>
        <color rgb="FF9C5700"/>
        <name val="Aptos Narrow"/>
        <family val="2"/>
      </font>
      <fill>
        <patternFill>
          <bgColor rgb="FFFFEB9C"/>
        </patternFill>
      </fill>
    </dxf>
    <dxf>
      <font>
        <sz val="12"/>
        <color rgb="FF9C0006"/>
        <name val="Aptos Narrow"/>
        <family val="2"/>
      </font>
      <fill>
        <patternFill>
          <bgColor rgb="FFFFC7CE"/>
        </patternFill>
      </fill>
    </dxf>
    <dxf>
      <font>
        <sz val="12"/>
        <color rgb="FF006100"/>
        <name val="Aptos Narrow"/>
        <family val="2"/>
      </font>
      <fill>
        <patternFill>
          <bgColor rgb="FFC6EFCE"/>
        </patternFill>
      </fill>
    </dxf>
    <dxf>
      <font>
        <sz val="12"/>
        <color rgb="FF78206E"/>
        <name val="Aptos Narrow"/>
        <family val="2"/>
      </font>
      <fill>
        <patternFill>
          <bgColor theme="8" tint="0.79989013336588644"/>
        </patternFill>
      </fill>
    </dxf>
    <dxf>
      <font>
        <sz val="12"/>
        <color rgb="FF9C5700"/>
        <name val="Aptos Narrow"/>
        <family val="2"/>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91"/>
      <rgbColor rgb="FF808000"/>
      <rgbColor rgb="FF800080"/>
      <rgbColor rgb="FF008080"/>
      <rgbColor rgb="FFAFD095"/>
      <rgbColor rgb="FF808080"/>
      <rgbColor rgb="FF9999FF"/>
      <rgbColor rgb="FF78206E"/>
      <rgbColor rgb="FFFFFFCC"/>
      <rgbColor rgb="FFCCFFFF"/>
      <rgbColor rgb="FF660066"/>
      <rgbColor rgb="FFFF8080"/>
      <rgbColor rgb="FF0066CC"/>
      <rgbColor rgb="FFF2CF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467886"/>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ccede-web.com/notices/html-et-css/bonnes-pratiques/identifier-la-position-courante-dans-les-systemes-de-navigation-avec-aria-cur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5"/>
  <sheetViews>
    <sheetView tabSelected="1" zoomScale="90" zoomScaleNormal="90" workbookViewId="0">
      <selection activeCell="E3" sqref="E3"/>
    </sheetView>
  </sheetViews>
  <sheetFormatPr defaultColWidth="10.875" defaultRowHeight="15.75" customHeight="1"/>
  <cols>
    <col min="1" max="1" width="15" style="7" customWidth="1"/>
    <col min="2" max="2" width="10.375" style="7" customWidth="1"/>
    <col min="3" max="3" width="59.875" style="7" customWidth="1"/>
    <col min="4" max="4" width="15.125" style="7" customWidth="1"/>
    <col min="5" max="5" width="106.625" style="7" customWidth="1"/>
    <col min="6" max="6" width="18.625" style="8" customWidth="1"/>
    <col min="7" max="16384" width="10.875" style="7"/>
  </cols>
  <sheetData>
    <row r="1" spans="1:6" ht="31.5" customHeight="1">
      <c r="A1" s="6" t="s">
        <v>0</v>
      </c>
      <c r="B1" s="6"/>
      <c r="C1" s="6"/>
      <c r="D1" s="6"/>
    </row>
    <row r="2" spans="1:6" s="10" customFormat="1" ht="17.850000000000001" customHeight="1">
      <c r="A2" s="5" t="s">
        <v>1</v>
      </c>
      <c r="B2" s="5"/>
      <c r="C2" s="5"/>
      <c r="D2" s="26" t="s">
        <v>2</v>
      </c>
      <c r="E2" s="26" t="s">
        <v>3</v>
      </c>
      <c r="F2" s="9"/>
    </row>
    <row r="3" spans="1:6" ht="17.850000000000001" customHeight="1">
      <c r="A3" s="27" t="s">
        <v>4</v>
      </c>
      <c r="B3" s="27"/>
      <c r="C3" s="27"/>
      <c r="D3" s="11">
        <v>45746</v>
      </c>
      <c r="E3" s="23" t="s">
        <v>5</v>
      </c>
    </row>
    <row r="4" spans="1:6" ht="17.850000000000001" customHeight="1">
      <c r="A4" s="27" t="s">
        <v>6</v>
      </c>
      <c r="B4" s="27"/>
      <c r="C4" s="27"/>
      <c r="D4" s="12" t="s">
        <v>7</v>
      </c>
      <c r="E4" s="13" t="s">
        <v>8</v>
      </c>
    </row>
    <row r="5" spans="1:6" ht="15.75" customHeight="1">
      <c r="A5" s="27" t="s">
        <v>9</v>
      </c>
      <c r="B5" s="27"/>
      <c r="C5" s="27"/>
      <c r="D5" s="14">
        <f>COUNTIF($D$14:$D$119,"Conforme")</f>
        <v>14</v>
      </c>
      <c r="E5" s="14">
        <v>19</v>
      </c>
    </row>
    <row r="6" spans="1:6" ht="18.75" customHeight="1">
      <c r="A6" s="27" t="s">
        <v>10</v>
      </c>
      <c r="B6" s="27"/>
      <c r="C6" s="27"/>
      <c r="D6" s="14">
        <f>COUNTIF($D$14:$D$119,"Non conforme")</f>
        <v>5</v>
      </c>
      <c r="E6" s="14">
        <v>0</v>
      </c>
    </row>
    <row r="7" spans="1:6" ht="18.75" customHeight="1">
      <c r="A7" s="27" t="s">
        <v>11</v>
      </c>
      <c r="B7" s="27"/>
      <c r="C7" s="27"/>
      <c r="D7" s="14">
        <f>COUNTIF($D$14:$D$119,"Non applicable")</f>
        <v>87</v>
      </c>
      <c r="E7" s="14">
        <v>87</v>
      </c>
    </row>
    <row r="8" spans="1:6" ht="18.75" customHeight="1">
      <c r="A8" s="27" t="s">
        <v>12</v>
      </c>
      <c r="B8" s="27"/>
      <c r="C8" s="27"/>
      <c r="D8" s="14">
        <f>COUNTIF($D$14:$D$119,"Dérogé")</f>
        <v>0</v>
      </c>
      <c r="E8" s="14">
        <v>0</v>
      </c>
    </row>
    <row r="9" spans="1:6" ht="18.75" customHeight="1">
      <c r="A9" s="27" t="s">
        <v>13</v>
      </c>
      <c r="B9" s="27"/>
      <c r="C9" s="27"/>
      <c r="D9" s="14">
        <f>COUNTIF($D$14:$D$119,"Non testé")</f>
        <v>0</v>
      </c>
      <c r="E9" s="14">
        <v>0</v>
      </c>
    </row>
    <row r="10" spans="1:6" ht="18.75" customHeight="1">
      <c r="A10" s="4" t="s">
        <v>14</v>
      </c>
      <c r="B10" s="4"/>
      <c r="C10" s="4"/>
      <c r="D10" s="28">
        <f>IF(SUM(D5:D6)&gt;0,D5/SUM(D5:D6),"")</f>
        <v>0.73684210526315785</v>
      </c>
      <c r="E10" s="29">
        <v>1</v>
      </c>
    </row>
    <row r="11" spans="1:6" ht="18.75" customHeight="1">
      <c r="A11" s="4" t="s">
        <v>15</v>
      </c>
      <c r="B11" s="4"/>
      <c r="C11" s="4"/>
      <c r="D11" s="28">
        <f>IF(SUM(D5:D6)&gt;0,1-ROUND(D10,2),"")</f>
        <v>0.26</v>
      </c>
      <c r="E11" s="29">
        <v>0</v>
      </c>
    </row>
    <row r="12" spans="1:6" ht="15">
      <c r="A12" s="30"/>
      <c r="B12" s="30"/>
      <c r="C12" s="30"/>
    </row>
    <row r="13" spans="1:6" ht="17.850000000000001">
      <c r="A13" s="15" t="s">
        <v>16</v>
      </c>
      <c r="B13" s="15" t="s">
        <v>17</v>
      </c>
      <c r="C13" s="15" t="s">
        <v>18</v>
      </c>
      <c r="D13" s="15" t="s">
        <v>19</v>
      </c>
      <c r="E13" s="16" t="s">
        <v>20</v>
      </c>
      <c r="F13" s="17" t="s">
        <v>21</v>
      </c>
    </row>
    <row r="14" spans="1:6" ht="17.850000000000001" customHeight="1">
      <c r="A14" s="3" t="s">
        <v>22</v>
      </c>
      <c r="B14" s="31" t="s">
        <v>23</v>
      </c>
      <c r="C14" s="18" t="s">
        <v>24</v>
      </c>
      <c r="D14" s="19" t="s">
        <v>25</v>
      </c>
      <c r="E14" s="20"/>
      <c r="F14" s="20"/>
    </row>
    <row r="15" spans="1:6" ht="28.35">
      <c r="A15" s="3"/>
      <c r="B15" s="31" t="s">
        <v>26</v>
      </c>
      <c r="C15" s="18" t="s">
        <v>27</v>
      </c>
      <c r="D15" s="19" t="s">
        <v>25</v>
      </c>
      <c r="E15" s="20"/>
      <c r="F15" s="20"/>
    </row>
    <row r="16" spans="1:6" ht="28.35">
      <c r="A16" s="3"/>
      <c r="B16" s="31" t="s">
        <v>28</v>
      </c>
      <c r="C16" s="18" t="s">
        <v>29</v>
      </c>
      <c r="D16" s="19" t="s">
        <v>25</v>
      </c>
      <c r="E16" s="20"/>
      <c r="F16" s="20"/>
    </row>
    <row r="17" spans="1:6" ht="41.85">
      <c r="A17" s="3"/>
      <c r="B17" s="31" t="s">
        <v>30</v>
      </c>
      <c r="C17" s="18" t="s">
        <v>31</v>
      </c>
      <c r="D17" s="19" t="s">
        <v>25</v>
      </c>
      <c r="E17" s="20"/>
      <c r="F17" s="20"/>
    </row>
    <row r="18" spans="1:6" ht="28.35">
      <c r="A18" s="3"/>
      <c r="B18" s="31" t="s">
        <v>32</v>
      </c>
      <c r="C18" s="18" t="s">
        <v>33</v>
      </c>
      <c r="D18" s="19" t="s">
        <v>25</v>
      </c>
      <c r="E18" s="20"/>
      <c r="F18" s="20"/>
    </row>
    <row r="19" spans="1:6" ht="28.35">
      <c r="A19" s="3"/>
      <c r="B19" s="31" t="s">
        <v>34</v>
      </c>
      <c r="C19" s="18" t="s">
        <v>35</v>
      </c>
      <c r="D19" s="19" t="s">
        <v>25</v>
      </c>
      <c r="E19" s="20"/>
      <c r="F19" s="20"/>
    </row>
    <row r="20" spans="1:6" ht="28.35">
      <c r="A20" s="3"/>
      <c r="B20" s="31" t="s">
        <v>36</v>
      </c>
      <c r="C20" s="18" t="s">
        <v>37</v>
      </c>
      <c r="D20" s="19" t="s">
        <v>25</v>
      </c>
      <c r="E20" s="20"/>
      <c r="F20" s="20"/>
    </row>
    <row r="21" spans="1:6" ht="41.85">
      <c r="A21" s="3"/>
      <c r="B21" s="31" t="s">
        <v>38</v>
      </c>
      <c r="C21" s="18" t="s">
        <v>39</v>
      </c>
      <c r="D21" s="19" t="s">
        <v>25</v>
      </c>
      <c r="E21" s="20"/>
      <c r="F21" s="20"/>
    </row>
    <row r="22" spans="1:6" ht="28.35">
      <c r="A22" s="3"/>
      <c r="B22" s="31" t="s">
        <v>40</v>
      </c>
      <c r="C22" s="18" t="s">
        <v>41</v>
      </c>
      <c r="D22" s="19" t="s">
        <v>25</v>
      </c>
      <c r="E22" s="20"/>
      <c r="F22" s="20"/>
    </row>
    <row r="23" spans="1:6" ht="17.850000000000001" customHeight="1">
      <c r="A23" s="3" t="s">
        <v>42</v>
      </c>
      <c r="B23" s="31" t="s">
        <v>43</v>
      </c>
      <c r="C23" s="18" t="s">
        <v>44</v>
      </c>
      <c r="D23" s="19" t="s">
        <v>25</v>
      </c>
      <c r="E23" s="20"/>
      <c r="F23" s="20"/>
    </row>
    <row r="24" spans="1:6" ht="28.35">
      <c r="A24" s="3"/>
      <c r="B24" s="31" t="s">
        <v>45</v>
      </c>
      <c r="C24" s="18" t="s">
        <v>46</v>
      </c>
      <c r="D24" s="19" t="s">
        <v>25</v>
      </c>
      <c r="E24" s="20"/>
      <c r="F24" s="20"/>
    </row>
    <row r="25" spans="1:6" ht="28.35" customHeight="1">
      <c r="A25" s="3" t="s">
        <v>47</v>
      </c>
      <c r="B25" s="31" t="s">
        <v>48</v>
      </c>
      <c r="C25" s="18" t="s">
        <v>49</v>
      </c>
      <c r="D25" s="19" t="s">
        <v>25</v>
      </c>
      <c r="E25" s="20"/>
      <c r="F25" s="20"/>
    </row>
    <row r="26" spans="1:6" ht="95.45">
      <c r="A26" s="3"/>
      <c r="B26" s="31" t="s">
        <v>50</v>
      </c>
      <c r="C26" s="18" t="s">
        <v>51</v>
      </c>
      <c r="D26" s="19" t="s">
        <v>52</v>
      </c>
      <c r="E26" s="20" t="s">
        <v>53</v>
      </c>
      <c r="F26" s="20"/>
    </row>
    <row r="27" spans="1:6" ht="149.25">
      <c r="A27" s="3"/>
      <c r="B27" s="31" t="s">
        <v>54</v>
      </c>
      <c r="C27" s="18" t="s">
        <v>55</v>
      </c>
      <c r="D27" s="19" t="s">
        <v>52</v>
      </c>
      <c r="E27" s="20" t="s">
        <v>56</v>
      </c>
      <c r="F27" s="20"/>
    </row>
    <row r="28" spans="1:6" ht="28.35" customHeight="1">
      <c r="A28" s="3" t="s">
        <v>57</v>
      </c>
      <c r="B28" s="31" t="s">
        <v>58</v>
      </c>
      <c r="C28" s="18" t="s">
        <v>59</v>
      </c>
      <c r="D28" s="19" t="s">
        <v>25</v>
      </c>
      <c r="E28" s="20"/>
      <c r="F28" s="20"/>
    </row>
    <row r="29" spans="1:6" ht="41.85">
      <c r="A29" s="3"/>
      <c r="B29" s="31" t="s">
        <v>60</v>
      </c>
      <c r="C29" s="18" t="s">
        <v>61</v>
      </c>
      <c r="D29" s="19" t="s">
        <v>25</v>
      </c>
      <c r="E29" s="20"/>
      <c r="F29" s="20"/>
    </row>
    <row r="30" spans="1:6" ht="28.35">
      <c r="A30" s="3"/>
      <c r="B30" s="31" t="s">
        <v>62</v>
      </c>
      <c r="C30" s="18" t="s">
        <v>63</v>
      </c>
      <c r="D30" s="19" t="s">
        <v>25</v>
      </c>
      <c r="E30" s="20"/>
      <c r="F30" s="20"/>
    </row>
    <row r="31" spans="1:6" ht="28.35">
      <c r="A31" s="3"/>
      <c r="B31" s="31" t="s">
        <v>64</v>
      </c>
      <c r="C31" s="18" t="s">
        <v>65</v>
      </c>
      <c r="D31" s="19" t="s">
        <v>25</v>
      </c>
      <c r="E31" s="20"/>
      <c r="F31" s="20"/>
    </row>
    <row r="32" spans="1:6" ht="28.35">
      <c r="A32" s="3"/>
      <c r="B32" s="31" t="s">
        <v>66</v>
      </c>
      <c r="C32" s="18" t="s">
        <v>67</v>
      </c>
      <c r="D32" s="19" t="s">
        <v>25</v>
      </c>
      <c r="E32" s="20"/>
      <c r="F32" s="20"/>
    </row>
    <row r="33" spans="1:6" ht="28.35">
      <c r="A33" s="3"/>
      <c r="B33" s="31" t="s">
        <v>68</v>
      </c>
      <c r="C33" s="18" t="s">
        <v>69</v>
      </c>
      <c r="D33" s="19" t="s">
        <v>25</v>
      </c>
      <c r="E33" s="20"/>
      <c r="F33" s="20"/>
    </row>
    <row r="34" spans="1:6" ht="28.35">
      <c r="A34" s="3"/>
      <c r="B34" s="31" t="s">
        <v>70</v>
      </c>
      <c r="C34" s="18" t="s">
        <v>71</v>
      </c>
      <c r="D34" s="19" t="s">
        <v>25</v>
      </c>
      <c r="E34" s="20"/>
      <c r="F34" s="20"/>
    </row>
    <row r="35" spans="1:6" ht="28.35">
      <c r="A35" s="3"/>
      <c r="B35" s="31" t="s">
        <v>72</v>
      </c>
      <c r="C35" s="18" t="s">
        <v>73</v>
      </c>
      <c r="D35" s="19" t="s">
        <v>25</v>
      </c>
      <c r="E35" s="20"/>
      <c r="F35" s="20"/>
    </row>
    <row r="36" spans="1:6" ht="28.35">
      <c r="A36" s="3"/>
      <c r="B36" s="31" t="s">
        <v>74</v>
      </c>
      <c r="C36" s="18" t="s">
        <v>75</v>
      </c>
      <c r="D36" s="19" t="s">
        <v>25</v>
      </c>
      <c r="E36" s="20"/>
      <c r="F36" s="20"/>
    </row>
    <row r="37" spans="1:6" ht="28.35">
      <c r="A37" s="3"/>
      <c r="B37" s="31" t="s">
        <v>76</v>
      </c>
      <c r="C37" s="18" t="s">
        <v>77</v>
      </c>
      <c r="D37" s="19" t="s">
        <v>25</v>
      </c>
      <c r="E37" s="20"/>
      <c r="F37" s="20"/>
    </row>
    <row r="38" spans="1:6" ht="28.35">
      <c r="A38" s="3"/>
      <c r="B38" s="31" t="s">
        <v>78</v>
      </c>
      <c r="C38" s="18" t="s">
        <v>79</v>
      </c>
      <c r="D38" s="19" t="s">
        <v>25</v>
      </c>
      <c r="E38" s="20"/>
      <c r="F38" s="20"/>
    </row>
    <row r="39" spans="1:6" ht="28.35">
      <c r="A39" s="3"/>
      <c r="B39" s="31" t="s">
        <v>80</v>
      </c>
      <c r="C39" s="18" t="s">
        <v>81</v>
      </c>
      <c r="D39" s="19" t="s">
        <v>25</v>
      </c>
      <c r="E39" s="20"/>
      <c r="F39" s="20"/>
    </row>
    <row r="40" spans="1:6" ht="28.35">
      <c r="A40" s="3"/>
      <c r="B40" s="31" t="s">
        <v>82</v>
      </c>
      <c r="C40" s="18" t="s">
        <v>83</v>
      </c>
      <c r="D40" s="19" t="s">
        <v>25</v>
      </c>
      <c r="E40" s="20"/>
      <c r="F40" s="20"/>
    </row>
    <row r="41" spans="1:6" ht="17.850000000000001" customHeight="1">
      <c r="A41" s="3" t="s">
        <v>84</v>
      </c>
      <c r="B41" s="31" t="s">
        <v>85</v>
      </c>
      <c r="C41" s="18" t="s">
        <v>86</v>
      </c>
      <c r="D41" s="19" t="s">
        <v>25</v>
      </c>
      <c r="E41" s="20"/>
      <c r="F41" s="20"/>
    </row>
    <row r="42" spans="1:6" ht="28.35">
      <c r="A42" s="3"/>
      <c r="B42" s="31" t="s">
        <v>87</v>
      </c>
      <c r="C42" s="18" t="s">
        <v>88</v>
      </c>
      <c r="D42" s="19" t="s">
        <v>25</v>
      </c>
      <c r="E42" s="20"/>
      <c r="F42" s="20"/>
    </row>
    <row r="43" spans="1:6" ht="28.35">
      <c r="A43" s="3"/>
      <c r="B43" s="31" t="s">
        <v>89</v>
      </c>
      <c r="C43" s="18" t="s">
        <v>90</v>
      </c>
      <c r="D43" s="19" t="s">
        <v>25</v>
      </c>
      <c r="E43" s="20"/>
      <c r="F43" s="20"/>
    </row>
    <row r="44" spans="1:6" ht="28.35">
      <c r="A44" s="3"/>
      <c r="B44" s="31" t="s">
        <v>91</v>
      </c>
      <c r="C44" s="18" t="s">
        <v>92</v>
      </c>
      <c r="D44" s="19" t="s">
        <v>25</v>
      </c>
      <c r="E44" s="20"/>
      <c r="F44" s="20"/>
    </row>
    <row r="45" spans="1:6" ht="17.850000000000001">
      <c r="A45" s="3"/>
      <c r="B45" s="31" t="s">
        <v>93</v>
      </c>
      <c r="C45" s="18" t="s">
        <v>94</v>
      </c>
      <c r="D45" s="19" t="s">
        <v>25</v>
      </c>
      <c r="E45" s="20"/>
      <c r="F45" s="20"/>
    </row>
    <row r="46" spans="1:6" ht="28.35">
      <c r="A46" s="3"/>
      <c r="B46" s="31" t="s">
        <v>95</v>
      </c>
      <c r="C46" s="18" t="s">
        <v>96</v>
      </c>
      <c r="D46" s="19" t="s">
        <v>25</v>
      </c>
      <c r="E46" s="20"/>
      <c r="F46" s="20"/>
    </row>
    <row r="47" spans="1:6" ht="41.85">
      <c r="A47" s="3"/>
      <c r="B47" s="31" t="s">
        <v>97</v>
      </c>
      <c r="C47" s="18" t="s">
        <v>98</v>
      </c>
      <c r="D47" s="19" t="s">
        <v>25</v>
      </c>
      <c r="E47" s="20"/>
      <c r="F47" s="20"/>
    </row>
    <row r="48" spans="1:6" ht="28.35">
      <c r="A48" s="3"/>
      <c r="B48" s="31" t="s">
        <v>99</v>
      </c>
      <c r="C48" s="18" t="s">
        <v>100</v>
      </c>
      <c r="D48" s="19" t="s">
        <v>25</v>
      </c>
      <c r="E48" s="20"/>
      <c r="F48" s="20"/>
    </row>
    <row r="49" spans="1:6" ht="17.850000000000001" customHeight="1">
      <c r="A49" s="3" t="s">
        <v>101</v>
      </c>
      <c r="B49" s="31" t="s">
        <v>102</v>
      </c>
      <c r="C49" s="18" t="s">
        <v>103</v>
      </c>
      <c r="D49" s="19" t="s">
        <v>25</v>
      </c>
      <c r="E49" s="20" t="s">
        <v>104</v>
      </c>
      <c r="F49" s="20"/>
    </row>
    <row r="50" spans="1:6" ht="18.75">
      <c r="A50" s="3"/>
      <c r="B50" s="31" t="s">
        <v>105</v>
      </c>
      <c r="C50" s="18" t="s">
        <v>106</v>
      </c>
      <c r="D50" s="19" t="s">
        <v>52</v>
      </c>
      <c r="E50" s="20" t="s">
        <v>107</v>
      </c>
      <c r="F50" s="20"/>
    </row>
    <row r="51" spans="1:6" ht="82.15" customHeight="1">
      <c r="A51" s="3" t="s">
        <v>108</v>
      </c>
      <c r="B51" s="31" t="s">
        <v>109</v>
      </c>
      <c r="C51" s="18" t="s">
        <v>110</v>
      </c>
      <c r="D51" s="19" t="s">
        <v>111</v>
      </c>
      <c r="E51" s="20" t="s">
        <v>112</v>
      </c>
      <c r="F51" s="24" t="s">
        <v>113</v>
      </c>
    </row>
    <row r="52" spans="1:6" ht="28.35">
      <c r="A52" s="3"/>
      <c r="B52" s="31" t="s">
        <v>114</v>
      </c>
      <c r="C52" s="18" t="s">
        <v>115</v>
      </c>
      <c r="D52" s="19" t="s">
        <v>25</v>
      </c>
      <c r="E52" s="20"/>
      <c r="F52" s="20"/>
    </row>
    <row r="53" spans="1:6" ht="28.35">
      <c r="A53" s="3"/>
      <c r="B53" s="31" t="s">
        <v>116</v>
      </c>
      <c r="C53" s="18" t="s">
        <v>117</v>
      </c>
      <c r="D53" s="19" t="s">
        <v>52</v>
      </c>
      <c r="E53" s="20" t="s">
        <v>118</v>
      </c>
      <c r="F53" s="20"/>
    </row>
    <row r="54" spans="1:6" ht="28.35">
      <c r="A54" s="3"/>
      <c r="B54" s="31" t="s">
        <v>119</v>
      </c>
      <c r="C54" s="18" t="s">
        <v>120</v>
      </c>
      <c r="D54" s="19" t="s">
        <v>25</v>
      </c>
      <c r="E54" s="20"/>
      <c r="F54" s="20"/>
    </row>
    <row r="55" spans="1:6" ht="28.35">
      <c r="A55" s="3"/>
      <c r="B55" s="31" t="s">
        <v>121</v>
      </c>
      <c r="C55" s="18" t="s">
        <v>122</v>
      </c>
      <c r="D55" s="19" t="s">
        <v>25</v>
      </c>
      <c r="E55" s="20"/>
      <c r="F55" s="20"/>
    </row>
    <row r="56" spans="1:6" ht="17.850000000000001" customHeight="1">
      <c r="A56" s="3" t="s">
        <v>123</v>
      </c>
      <c r="B56" s="31" t="s">
        <v>124</v>
      </c>
      <c r="C56" s="18" t="s">
        <v>125</v>
      </c>
      <c r="D56" s="19" t="s">
        <v>25</v>
      </c>
      <c r="E56" s="20"/>
      <c r="F56" s="20"/>
    </row>
    <row r="57" spans="1:6" ht="28.35">
      <c r="A57" s="3"/>
      <c r="B57" s="31" t="s">
        <v>126</v>
      </c>
      <c r="C57" s="18" t="s">
        <v>127</v>
      </c>
      <c r="D57" s="19" t="s">
        <v>52</v>
      </c>
      <c r="E57" s="20" t="s">
        <v>128</v>
      </c>
      <c r="F57" s="20"/>
    </row>
    <row r="58" spans="1:6" ht="17.850000000000001">
      <c r="A58" s="3"/>
      <c r="B58" s="31" t="s">
        <v>129</v>
      </c>
      <c r="C58" s="18" t="s">
        <v>130</v>
      </c>
      <c r="D58" s="19" t="s">
        <v>25</v>
      </c>
      <c r="E58" s="20"/>
      <c r="F58" s="20"/>
    </row>
    <row r="59" spans="1:6" ht="28.35">
      <c r="A59" s="3"/>
      <c r="B59" s="31" t="s">
        <v>131</v>
      </c>
      <c r="C59" s="18" t="s">
        <v>132</v>
      </c>
      <c r="D59" s="19" t="s">
        <v>25</v>
      </c>
      <c r="E59" s="20"/>
      <c r="F59" s="20"/>
    </row>
    <row r="60" spans="1:6" ht="17.850000000000001">
      <c r="A60" s="3"/>
      <c r="B60" s="31" t="s">
        <v>133</v>
      </c>
      <c r="C60" s="18" t="s">
        <v>134</v>
      </c>
      <c r="D60" s="19" t="s">
        <v>25</v>
      </c>
      <c r="E60" s="20"/>
      <c r="F60" s="20"/>
    </row>
    <row r="61" spans="1:6" ht="17.850000000000001">
      <c r="A61" s="3"/>
      <c r="B61" s="31" t="s">
        <v>135</v>
      </c>
      <c r="C61" s="18" t="s">
        <v>136</v>
      </c>
      <c r="D61" s="19" t="s">
        <v>25</v>
      </c>
      <c r="E61" s="20"/>
      <c r="F61" s="20"/>
    </row>
    <row r="62" spans="1:6" ht="28.35">
      <c r="A62" s="3"/>
      <c r="B62" s="31" t="s">
        <v>137</v>
      </c>
      <c r="C62" s="18" t="s">
        <v>138</v>
      </c>
      <c r="D62" s="19" t="s">
        <v>25</v>
      </c>
      <c r="E62" s="20"/>
      <c r="F62" s="20"/>
    </row>
    <row r="63" spans="1:6" ht="28.35">
      <c r="A63" s="3"/>
      <c r="B63" s="31" t="s">
        <v>139</v>
      </c>
      <c r="C63" s="18" t="s">
        <v>140</v>
      </c>
      <c r="D63" s="19" t="s">
        <v>25</v>
      </c>
      <c r="E63" s="20"/>
      <c r="F63" s="20"/>
    </row>
    <row r="64" spans="1:6" ht="28.35">
      <c r="A64" s="3"/>
      <c r="B64" s="31" t="s">
        <v>141</v>
      </c>
      <c r="C64" s="18" t="s">
        <v>142</v>
      </c>
      <c r="D64" s="19" t="s">
        <v>25</v>
      </c>
      <c r="E64" s="20"/>
      <c r="F64" s="20"/>
    </row>
    <row r="65" spans="1:6" ht="28.35">
      <c r="A65" s="3"/>
      <c r="B65" s="31" t="s">
        <v>143</v>
      </c>
      <c r="C65" s="18" t="s">
        <v>144</v>
      </c>
      <c r="D65" s="19" t="s">
        <v>25</v>
      </c>
      <c r="E65" s="20"/>
      <c r="F65" s="20"/>
    </row>
    <row r="66" spans="1:6" ht="28.35" customHeight="1">
      <c r="A66" s="3" t="s">
        <v>145</v>
      </c>
      <c r="B66" s="31" t="s">
        <v>146</v>
      </c>
      <c r="C66" s="18" t="s">
        <v>147</v>
      </c>
      <c r="D66" s="19" t="s">
        <v>25</v>
      </c>
      <c r="E66" s="20"/>
      <c r="F66" s="20"/>
    </row>
    <row r="67" spans="1:6" ht="32.25">
      <c r="A67" s="3"/>
      <c r="B67" s="31" t="s">
        <v>148</v>
      </c>
      <c r="C67" s="18" t="s">
        <v>149</v>
      </c>
      <c r="D67" s="19" t="s">
        <v>111</v>
      </c>
      <c r="E67" s="20" t="s">
        <v>150</v>
      </c>
      <c r="F67" s="24" t="s">
        <v>151</v>
      </c>
    </row>
    <row r="68" spans="1:6" ht="17.850000000000001">
      <c r="A68" s="3"/>
      <c r="B68" s="31" t="s">
        <v>152</v>
      </c>
      <c r="C68" s="18" t="s">
        <v>153</v>
      </c>
      <c r="D68" s="19" t="s">
        <v>52</v>
      </c>
      <c r="E68" s="20" t="s">
        <v>154</v>
      </c>
      <c r="F68" s="20"/>
    </row>
    <row r="69" spans="1:6" ht="28.35">
      <c r="A69" s="3"/>
      <c r="B69" s="31" t="s">
        <v>155</v>
      </c>
      <c r="C69" s="18" t="s">
        <v>156</v>
      </c>
      <c r="D69" s="19" t="s">
        <v>25</v>
      </c>
      <c r="E69" s="20"/>
      <c r="F69" s="20"/>
    </row>
    <row r="70" spans="1:6" ht="55.15" customHeight="1">
      <c r="A70" s="3" t="s">
        <v>157</v>
      </c>
      <c r="B70" s="31" t="s">
        <v>158</v>
      </c>
      <c r="C70" s="18" t="s">
        <v>159</v>
      </c>
      <c r="D70" s="19" t="s">
        <v>52</v>
      </c>
      <c r="E70" s="20" t="s">
        <v>160</v>
      </c>
      <c r="F70" s="20"/>
    </row>
    <row r="71" spans="1:6" ht="28.35">
      <c r="A71" s="3"/>
      <c r="B71" s="31" t="s">
        <v>161</v>
      </c>
      <c r="C71" s="18" t="s">
        <v>162</v>
      </c>
      <c r="D71" s="19" t="s">
        <v>52</v>
      </c>
      <c r="E71" s="20" t="s">
        <v>163</v>
      </c>
      <c r="F71" s="20"/>
    </row>
    <row r="72" spans="1:6" ht="61.5">
      <c r="A72" s="3"/>
      <c r="B72" s="31" t="s">
        <v>164</v>
      </c>
      <c r="C72" s="18" t="s">
        <v>165</v>
      </c>
      <c r="D72" s="19" t="s">
        <v>111</v>
      </c>
      <c r="E72" s="20" t="s">
        <v>166</v>
      </c>
      <c r="F72" s="25" t="s">
        <v>167</v>
      </c>
    </row>
    <row r="73" spans="1:6" ht="41.85">
      <c r="A73" s="3"/>
      <c r="B73" s="31" t="s">
        <v>168</v>
      </c>
      <c r="C73" s="18" t="s">
        <v>169</v>
      </c>
      <c r="D73" s="19" t="s">
        <v>52</v>
      </c>
      <c r="E73" s="20" t="s">
        <v>170</v>
      </c>
      <c r="F73" s="20"/>
    </row>
    <row r="74" spans="1:6" ht="28.35">
      <c r="A74" s="3"/>
      <c r="B74" s="31" t="s">
        <v>171</v>
      </c>
      <c r="C74" s="18" t="s">
        <v>172</v>
      </c>
      <c r="D74" s="19" t="s">
        <v>25</v>
      </c>
      <c r="E74" s="20" t="s">
        <v>173</v>
      </c>
      <c r="F74" s="20"/>
    </row>
    <row r="75" spans="1:6" ht="28.35">
      <c r="A75" s="3"/>
      <c r="B75" s="31" t="s">
        <v>174</v>
      </c>
      <c r="C75" s="18" t="s">
        <v>175</v>
      </c>
      <c r="D75" s="19" t="s">
        <v>25</v>
      </c>
      <c r="E75" s="20"/>
      <c r="F75" s="20"/>
    </row>
    <row r="76" spans="1:6" ht="28.35">
      <c r="A76" s="3"/>
      <c r="B76" s="31" t="s">
        <v>176</v>
      </c>
      <c r="C76" s="18" t="s">
        <v>177</v>
      </c>
      <c r="D76" s="19" t="s">
        <v>52</v>
      </c>
      <c r="E76" s="20" t="s">
        <v>178</v>
      </c>
      <c r="F76" s="20"/>
    </row>
    <row r="77" spans="1:6" ht="28.35">
      <c r="A77" s="3"/>
      <c r="B77" s="31" t="s">
        <v>179</v>
      </c>
      <c r="C77" s="18" t="s">
        <v>180</v>
      </c>
      <c r="D77" s="19" t="s">
        <v>25</v>
      </c>
      <c r="E77" s="20"/>
      <c r="F77" s="20"/>
    </row>
    <row r="78" spans="1:6" ht="32.25">
      <c r="A78" s="3"/>
      <c r="B78" s="31" t="s">
        <v>181</v>
      </c>
      <c r="C78" s="18" t="s">
        <v>182</v>
      </c>
      <c r="D78" s="19" t="s">
        <v>111</v>
      </c>
      <c r="E78" s="20" t="s">
        <v>183</v>
      </c>
      <c r="F78" s="25" t="s">
        <v>184</v>
      </c>
    </row>
    <row r="79" spans="1:6" ht="48">
      <c r="A79" s="3"/>
      <c r="B79" s="31" t="s">
        <v>185</v>
      </c>
      <c r="C79" s="18" t="s">
        <v>186</v>
      </c>
      <c r="D79" s="19" t="s">
        <v>111</v>
      </c>
      <c r="E79" s="20" t="s">
        <v>187</v>
      </c>
      <c r="F79" s="24" t="s">
        <v>188</v>
      </c>
    </row>
    <row r="80" spans="1:6" ht="68.650000000000006">
      <c r="A80" s="3"/>
      <c r="B80" s="31" t="s">
        <v>189</v>
      </c>
      <c r="C80" s="18" t="s">
        <v>190</v>
      </c>
      <c r="D80" s="19" t="s">
        <v>52</v>
      </c>
      <c r="E80" s="20" t="s">
        <v>191</v>
      </c>
      <c r="F80" s="20"/>
    </row>
    <row r="81" spans="1:6" ht="95.45">
      <c r="A81" s="3"/>
      <c r="B81" s="31" t="s">
        <v>192</v>
      </c>
      <c r="C81" s="18" t="s">
        <v>193</v>
      </c>
      <c r="D81" s="19" t="s">
        <v>52</v>
      </c>
      <c r="E81" s="20" t="s">
        <v>194</v>
      </c>
      <c r="F81" s="20"/>
    </row>
    <row r="82" spans="1:6" ht="41.85">
      <c r="A82" s="3"/>
      <c r="B82" s="31" t="s">
        <v>195</v>
      </c>
      <c r="C82" s="18" t="s">
        <v>196</v>
      </c>
      <c r="D82" s="19" t="s">
        <v>25</v>
      </c>
      <c r="E82" s="20"/>
      <c r="F82" s="20"/>
    </row>
    <row r="83" spans="1:6" ht="41.85">
      <c r="A83" s="3"/>
      <c r="B83" s="31" t="s">
        <v>197</v>
      </c>
      <c r="C83" s="18" t="s">
        <v>198</v>
      </c>
      <c r="D83" s="19" t="s">
        <v>25</v>
      </c>
      <c r="E83" s="20"/>
      <c r="F83" s="20"/>
    </row>
    <row r="84" spans="1:6" ht="17.850000000000001" customHeight="1">
      <c r="A84" s="3" t="s">
        <v>199</v>
      </c>
      <c r="B84" s="31" t="s">
        <v>200</v>
      </c>
      <c r="C84" s="18" t="s">
        <v>201</v>
      </c>
      <c r="D84" s="19" t="s">
        <v>25</v>
      </c>
      <c r="E84" s="20"/>
      <c r="F84" s="20"/>
    </row>
    <row r="85" spans="1:6" ht="28.35">
      <c r="A85" s="3"/>
      <c r="B85" s="31" t="s">
        <v>202</v>
      </c>
      <c r="C85" s="18" t="s">
        <v>203</v>
      </c>
      <c r="D85" s="19" t="s">
        <v>25</v>
      </c>
      <c r="E85" s="20"/>
      <c r="F85" s="20"/>
    </row>
    <row r="86" spans="1:6" ht="41.85">
      <c r="A86" s="3"/>
      <c r="B86" s="31" t="s">
        <v>204</v>
      </c>
      <c r="C86" s="18" t="s">
        <v>205</v>
      </c>
      <c r="D86" s="19" t="s">
        <v>25</v>
      </c>
      <c r="E86" s="20"/>
      <c r="F86" s="20"/>
    </row>
    <row r="87" spans="1:6" ht="28.35">
      <c r="A87" s="3"/>
      <c r="B87" s="31" t="s">
        <v>206</v>
      </c>
      <c r="C87" s="18" t="s">
        <v>207</v>
      </c>
      <c r="D87" s="19" t="s">
        <v>25</v>
      </c>
      <c r="E87" s="20"/>
      <c r="F87" s="20"/>
    </row>
    <row r="88" spans="1:6" ht="28.35">
      <c r="A88" s="3"/>
      <c r="B88" s="31" t="s">
        <v>208</v>
      </c>
      <c r="C88" s="18" t="s">
        <v>209</v>
      </c>
      <c r="D88" s="19" t="s">
        <v>25</v>
      </c>
      <c r="E88" s="20"/>
      <c r="F88" s="20"/>
    </row>
    <row r="89" spans="1:6" ht="28.35">
      <c r="A89" s="3"/>
      <c r="B89" s="31" t="s">
        <v>210</v>
      </c>
      <c r="C89" s="18" t="s">
        <v>211</v>
      </c>
      <c r="D89" s="19" t="s">
        <v>25</v>
      </c>
      <c r="E89" s="20"/>
      <c r="F89" s="20"/>
    </row>
    <row r="90" spans="1:6" ht="28.35">
      <c r="A90" s="3"/>
      <c r="B90" s="31" t="s">
        <v>212</v>
      </c>
      <c r="C90" s="18" t="s">
        <v>213</v>
      </c>
      <c r="D90" s="19" t="s">
        <v>25</v>
      </c>
      <c r="E90" s="20"/>
      <c r="F90" s="20"/>
    </row>
    <row r="91" spans="1:6" ht="28.35">
      <c r="A91" s="3"/>
      <c r="B91" s="31" t="s">
        <v>214</v>
      </c>
      <c r="C91" s="18" t="s">
        <v>215</v>
      </c>
      <c r="D91" s="19" t="s">
        <v>25</v>
      </c>
      <c r="E91" s="20"/>
      <c r="F91" s="20"/>
    </row>
    <row r="92" spans="1:6" ht="28.35">
      <c r="A92" s="3"/>
      <c r="B92" s="31" t="s">
        <v>216</v>
      </c>
      <c r="C92" s="18" t="s">
        <v>217</v>
      </c>
      <c r="D92" s="19" t="s">
        <v>25</v>
      </c>
      <c r="E92" s="20"/>
      <c r="F92" s="20"/>
    </row>
    <row r="93" spans="1:6" ht="28.35">
      <c r="A93" s="3"/>
      <c r="B93" s="31" t="s">
        <v>218</v>
      </c>
      <c r="C93" s="18" t="s">
        <v>219</v>
      </c>
      <c r="D93" s="19" t="s">
        <v>25</v>
      </c>
      <c r="E93" s="20"/>
      <c r="F93" s="20"/>
    </row>
    <row r="94" spans="1:6" ht="41.85">
      <c r="A94" s="3"/>
      <c r="B94" s="31" t="s">
        <v>220</v>
      </c>
      <c r="C94" s="18" t="s">
        <v>221</v>
      </c>
      <c r="D94" s="19" t="s">
        <v>25</v>
      </c>
      <c r="E94" s="20"/>
      <c r="F94" s="20"/>
    </row>
    <row r="95" spans="1:6" ht="68.650000000000006">
      <c r="A95" s="3"/>
      <c r="B95" s="31" t="s">
        <v>222</v>
      </c>
      <c r="C95" s="18" t="s">
        <v>223</v>
      </c>
      <c r="D95" s="19" t="s">
        <v>25</v>
      </c>
      <c r="E95" s="20"/>
      <c r="F95" s="20"/>
    </row>
    <row r="96" spans="1:6" ht="41.85">
      <c r="A96" s="3"/>
      <c r="B96" s="31" t="s">
        <v>224</v>
      </c>
      <c r="C96" s="18" t="s">
        <v>225</v>
      </c>
      <c r="D96" s="19" t="s">
        <v>25</v>
      </c>
      <c r="E96" s="20"/>
      <c r="F96" s="20"/>
    </row>
    <row r="97" spans="1:6" ht="28.35" customHeight="1">
      <c r="A97" s="3" t="s">
        <v>226</v>
      </c>
      <c r="B97" s="31" t="s">
        <v>227</v>
      </c>
      <c r="C97" s="18" t="s">
        <v>228</v>
      </c>
      <c r="D97" s="19" t="s">
        <v>25</v>
      </c>
      <c r="E97" s="20"/>
      <c r="F97" s="20"/>
    </row>
    <row r="98" spans="1:6" ht="28.35">
      <c r="A98" s="3"/>
      <c r="B98" s="31" t="s">
        <v>229</v>
      </c>
      <c r="C98" s="18" t="s">
        <v>230</v>
      </c>
      <c r="D98" s="19" t="s">
        <v>25</v>
      </c>
      <c r="E98" s="20"/>
      <c r="F98" s="20"/>
    </row>
    <row r="99" spans="1:6" ht="17.850000000000001">
      <c r="A99" s="3"/>
      <c r="B99" s="31" t="s">
        <v>231</v>
      </c>
      <c r="C99" s="18" t="s">
        <v>232</v>
      </c>
      <c r="D99" s="19" t="s">
        <v>25</v>
      </c>
      <c r="E99" s="20"/>
      <c r="F99" s="20"/>
    </row>
    <row r="100" spans="1:6" ht="28.35">
      <c r="A100" s="3"/>
      <c r="B100" s="31" t="s">
        <v>233</v>
      </c>
      <c r="C100" s="18" t="s">
        <v>234</v>
      </c>
      <c r="D100" s="19" t="s">
        <v>25</v>
      </c>
      <c r="E100" s="20"/>
      <c r="F100" s="20"/>
    </row>
    <row r="101" spans="1:6" ht="28.35">
      <c r="A101" s="3"/>
      <c r="B101" s="31" t="s">
        <v>235</v>
      </c>
      <c r="C101" s="18" t="s">
        <v>236</v>
      </c>
      <c r="D101" s="19" t="s">
        <v>25</v>
      </c>
      <c r="E101" s="20"/>
      <c r="F101" s="20"/>
    </row>
    <row r="102" spans="1:6" ht="55.15">
      <c r="A102" s="3"/>
      <c r="B102" s="31" t="s">
        <v>237</v>
      </c>
      <c r="C102" s="18" t="s">
        <v>238</v>
      </c>
      <c r="D102" s="19" t="s">
        <v>25</v>
      </c>
      <c r="E102" s="20"/>
      <c r="F102" s="20"/>
    </row>
    <row r="103" spans="1:6" ht="28.35">
      <c r="A103" s="3"/>
      <c r="B103" s="31" t="s">
        <v>239</v>
      </c>
      <c r="C103" s="18" t="s">
        <v>240</v>
      </c>
      <c r="D103" s="19" t="s">
        <v>25</v>
      </c>
      <c r="E103" s="20"/>
      <c r="F103" s="20"/>
    </row>
    <row r="104" spans="1:6" ht="17.850000000000001">
      <c r="A104" s="3"/>
      <c r="B104" s="31" t="s">
        <v>241</v>
      </c>
      <c r="C104" s="18" t="s">
        <v>242</v>
      </c>
      <c r="D104" s="19" t="s">
        <v>52</v>
      </c>
      <c r="E104" s="20" t="s">
        <v>243</v>
      </c>
      <c r="F104" s="20"/>
    </row>
    <row r="105" spans="1:6" ht="28.35">
      <c r="A105" s="3"/>
      <c r="B105" s="31" t="s">
        <v>244</v>
      </c>
      <c r="C105" s="18" t="s">
        <v>245</v>
      </c>
      <c r="D105" s="19" t="s">
        <v>52</v>
      </c>
      <c r="E105" s="20" t="s">
        <v>246</v>
      </c>
      <c r="F105" s="20"/>
    </row>
    <row r="106" spans="1:6" ht="41.85">
      <c r="A106" s="3"/>
      <c r="B106" s="31" t="s">
        <v>247</v>
      </c>
      <c r="C106" s="18" t="s">
        <v>248</v>
      </c>
      <c r="D106" s="19" t="s">
        <v>25</v>
      </c>
      <c r="E106" s="20"/>
      <c r="F106" s="20"/>
    </row>
    <row r="107" spans="1:6" ht="41.85">
      <c r="A107" s="3"/>
      <c r="B107" s="31" t="s">
        <v>249</v>
      </c>
      <c r="C107" s="18" t="s">
        <v>250</v>
      </c>
      <c r="D107" s="19" t="s">
        <v>25</v>
      </c>
      <c r="E107" s="20"/>
      <c r="F107" s="20"/>
    </row>
    <row r="108" spans="1:6" ht="28.35" customHeight="1">
      <c r="A108" s="3" t="s">
        <v>251</v>
      </c>
      <c r="B108" s="31" t="s">
        <v>252</v>
      </c>
      <c r="C108" s="18" t="s">
        <v>253</v>
      </c>
      <c r="D108" s="19" t="s">
        <v>25</v>
      </c>
      <c r="E108" s="20"/>
      <c r="F108" s="20"/>
    </row>
    <row r="109" spans="1:6" ht="41.85">
      <c r="A109" s="3"/>
      <c r="B109" s="31" t="s">
        <v>254</v>
      </c>
      <c r="C109" s="18" t="s">
        <v>255</v>
      </c>
      <c r="D109" s="19" t="s">
        <v>25</v>
      </c>
      <c r="E109" s="20"/>
      <c r="F109" s="20"/>
    </row>
    <row r="110" spans="1:6" ht="41.85">
      <c r="A110" s="3"/>
      <c r="B110" s="31" t="s">
        <v>256</v>
      </c>
      <c r="C110" s="18" t="s">
        <v>257</v>
      </c>
      <c r="D110" s="19" t="s">
        <v>25</v>
      </c>
      <c r="E110" s="20"/>
      <c r="F110" s="20"/>
    </row>
    <row r="111" spans="1:6" ht="28.35">
      <c r="A111" s="3"/>
      <c r="B111" s="31" t="s">
        <v>258</v>
      </c>
      <c r="C111" s="18" t="s">
        <v>259</v>
      </c>
      <c r="D111" s="19" t="s">
        <v>25</v>
      </c>
      <c r="E111" s="20"/>
      <c r="F111" s="20"/>
    </row>
    <row r="112" spans="1:6" ht="28.35">
      <c r="A112" s="3"/>
      <c r="B112" s="31" t="s">
        <v>260</v>
      </c>
      <c r="C112" s="18" t="s">
        <v>261</v>
      </c>
      <c r="D112" s="19" t="s">
        <v>25</v>
      </c>
      <c r="E112" s="20"/>
      <c r="F112" s="20"/>
    </row>
    <row r="113" spans="1:6" ht="41.85">
      <c r="A113" s="3"/>
      <c r="B113" s="31" t="s">
        <v>262</v>
      </c>
      <c r="C113" s="18" t="s">
        <v>263</v>
      </c>
      <c r="D113" s="19" t="s">
        <v>25</v>
      </c>
      <c r="E113" s="20"/>
      <c r="F113" s="20"/>
    </row>
    <row r="114" spans="1:6" ht="28.35">
      <c r="A114" s="3"/>
      <c r="B114" s="31" t="s">
        <v>264</v>
      </c>
      <c r="C114" s="18" t="s">
        <v>265</v>
      </c>
      <c r="D114" s="19" t="s">
        <v>25</v>
      </c>
      <c r="E114" s="20"/>
      <c r="F114" s="20"/>
    </row>
    <row r="115" spans="1:6" ht="28.35">
      <c r="A115" s="3"/>
      <c r="B115" s="31" t="s">
        <v>266</v>
      </c>
      <c r="C115" s="18" t="s">
        <v>267</v>
      </c>
      <c r="D115" s="19" t="s">
        <v>25</v>
      </c>
      <c r="E115" s="20"/>
      <c r="F115" s="20"/>
    </row>
    <row r="116" spans="1:6" ht="41.85">
      <c r="A116" s="3"/>
      <c r="B116" s="31" t="s">
        <v>268</v>
      </c>
      <c r="C116" s="18" t="s">
        <v>269</v>
      </c>
      <c r="D116" s="19" t="s">
        <v>25</v>
      </c>
      <c r="E116" s="20"/>
      <c r="F116" s="20"/>
    </row>
    <row r="117" spans="1:6" ht="41.85">
      <c r="A117" s="3"/>
      <c r="B117" s="31" t="s">
        <v>270</v>
      </c>
      <c r="C117" s="18" t="s">
        <v>271</v>
      </c>
      <c r="D117" s="19" t="s">
        <v>25</v>
      </c>
      <c r="E117" s="20"/>
      <c r="F117" s="20"/>
    </row>
    <row r="118" spans="1:6" ht="41.85">
      <c r="A118" s="3"/>
      <c r="B118" s="31" t="s">
        <v>272</v>
      </c>
      <c r="C118" s="18" t="s">
        <v>273</v>
      </c>
      <c r="D118" s="19" t="s">
        <v>25</v>
      </c>
      <c r="E118" s="20"/>
      <c r="F118" s="20"/>
    </row>
    <row r="119" spans="1:6" ht="41.85">
      <c r="A119" s="3"/>
      <c r="B119" s="31" t="s">
        <v>274</v>
      </c>
      <c r="C119" s="18" t="s">
        <v>275</v>
      </c>
      <c r="D119" s="19" t="s">
        <v>25</v>
      </c>
      <c r="E119" s="20"/>
      <c r="F119" s="20"/>
    </row>
    <row r="120" spans="1:6" ht="15"/>
    <row r="121" spans="1:6" ht="15"/>
    <row r="122" spans="1:6" ht="15">
      <c r="A122" s="2" t="s">
        <v>276</v>
      </c>
      <c r="B122" s="2"/>
      <c r="C122" s="2"/>
      <c r="D122" s="2"/>
      <c r="E122" s="21" t="s">
        <v>277</v>
      </c>
    </row>
    <row r="123" spans="1:6" ht="33.75" customHeight="1">
      <c r="A123" s="1" t="s">
        <v>278</v>
      </c>
      <c r="B123" s="1"/>
      <c r="C123" s="1"/>
      <c r="D123" s="1"/>
      <c r="E123" s="20" t="s">
        <v>279</v>
      </c>
    </row>
    <row r="124" spans="1:6" ht="15" customHeight="1">
      <c r="A124" s="1" t="s">
        <v>280</v>
      </c>
      <c r="B124" s="1"/>
      <c r="C124" s="1"/>
      <c r="D124" s="1"/>
      <c r="E124" s="22" t="s">
        <v>281</v>
      </c>
    </row>
    <row r="125" spans="1:6" ht="30" customHeight="1">
      <c r="A125" s="1" t="s">
        <v>282</v>
      </c>
      <c r="B125" s="1"/>
      <c r="C125" s="1"/>
      <c r="D125" s="1"/>
      <c r="E125" s="22" t="s">
        <v>283</v>
      </c>
    </row>
  </sheetData>
  <mergeCells count="28">
    <mergeCell ref="A123:D123"/>
    <mergeCell ref="A124:D124"/>
    <mergeCell ref="A125:D125"/>
    <mergeCell ref="A70:A83"/>
    <mergeCell ref="A84:A96"/>
    <mergeCell ref="A97:A107"/>
    <mergeCell ref="A108:A119"/>
    <mergeCell ref="A122:D122"/>
    <mergeCell ref="A41:A48"/>
    <mergeCell ref="A49:A50"/>
    <mergeCell ref="A51:A55"/>
    <mergeCell ref="A56:A65"/>
    <mergeCell ref="A66:A69"/>
    <mergeCell ref="A11:C11"/>
    <mergeCell ref="A14:A22"/>
    <mergeCell ref="A23:A24"/>
    <mergeCell ref="A25:A27"/>
    <mergeCell ref="A28:A40"/>
    <mergeCell ref="A6:C6"/>
    <mergeCell ref="A7:C7"/>
    <mergeCell ref="A8:C8"/>
    <mergeCell ref="A9:C9"/>
    <mergeCell ref="A10:C10"/>
    <mergeCell ref="A1:D1"/>
    <mergeCell ref="A2:C2"/>
    <mergeCell ref="A3:C3"/>
    <mergeCell ref="A4:C4"/>
    <mergeCell ref="A5:C5"/>
  </mergeCells>
  <conditionalFormatting sqref="E80">
    <cfRule type="expression" dxfId="27" priority="2">
      <formula>$D80="Non testé"</formula>
    </cfRule>
  </conditionalFormatting>
  <conditionalFormatting sqref="E80">
    <cfRule type="expression" dxfId="26" priority="3">
      <formula>$D80="Dérogé"</formula>
    </cfRule>
    <cfRule type="expression" dxfId="25" priority="4">
      <formula>$D80="Conforme"</formula>
    </cfRule>
    <cfRule type="expression" dxfId="24" priority="5">
      <formula>$D80="Non conforme"</formula>
    </cfRule>
  </conditionalFormatting>
  <conditionalFormatting sqref="D14:E76">
    <cfRule type="expression" dxfId="23" priority="6">
      <formula>$D14="Non testé"</formula>
    </cfRule>
  </conditionalFormatting>
  <conditionalFormatting sqref="E73">
    <cfRule type="expression" dxfId="22" priority="7">
      <formula>$D73="Dérogé"</formula>
    </cfRule>
    <cfRule type="expression" dxfId="21" priority="8">
      <formula>$D73="Conforme"</formula>
    </cfRule>
    <cfRule type="expression" dxfId="20" priority="9">
      <formula>$D73="Non conforme"</formula>
    </cfRule>
  </conditionalFormatting>
  <conditionalFormatting sqref="D74:E76">
    <cfRule type="expression" dxfId="19" priority="10">
      <formula>$D74="Dérogé"</formula>
    </cfRule>
    <cfRule type="expression" dxfId="18" priority="11">
      <formula>$D74="Conforme"</formula>
    </cfRule>
    <cfRule type="expression" dxfId="17" priority="12">
      <formula>$D74="Non conforme"</formula>
    </cfRule>
  </conditionalFormatting>
  <conditionalFormatting sqref="E72">
    <cfRule type="expression" dxfId="16" priority="13">
      <formula>$D72="Dérogé"</formula>
    </cfRule>
    <cfRule type="expression" dxfId="15" priority="14">
      <formula>$D72="Conforme"</formula>
    </cfRule>
    <cfRule type="expression" dxfId="14" priority="15">
      <formula>$D72="Non conforme"</formula>
    </cfRule>
  </conditionalFormatting>
  <conditionalFormatting sqref="D51:E71">
    <cfRule type="expression" dxfId="13" priority="16">
      <formula>$D51="Dérogé"</formula>
    </cfRule>
    <cfRule type="expression" dxfId="12" priority="17">
      <formula>$D51="Conforme"</formula>
    </cfRule>
    <cfRule type="expression" dxfId="11" priority="18">
      <formula>$D51="Non conforme"</formula>
    </cfRule>
  </conditionalFormatting>
  <conditionalFormatting sqref="E81">
    <cfRule type="expression" dxfId="10" priority="19">
      <formula>$D73="Non testé"</formula>
    </cfRule>
    <cfRule type="expression" dxfId="9" priority="20">
      <formula>$D73="Dérogé"</formula>
    </cfRule>
    <cfRule type="expression" dxfId="8" priority="21">
      <formula>$D73="Conforme"</formula>
    </cfRule>
    <cfRule type="expression" dxfId="7" priority="22">
      <formula>$D73="Non conforme"</formula>
    </cfRule>
  </conditionalFormatting>
  <conditionalFormatting sqref="E49:E50">
    <cfRule type="expression" dxfId="6" priority="23">
      <formula>$D49="Dérogé"</formula>
    </cfRule>
    <cfRule type="expression" dxfId="5" priority="24">
      <formula>$D49="Conforme"</formula>
    </cfRule>
    <cfRule type="expression" dxfId="4" priority="25">
      <formula>$D49="Non conforme"</formula>
    </cfRule>
  </conditionalFormatting>
  <conditionalFormatting sqref="D77:E79 D81:E119 D80">
    <cfRule type="expression" dxfId="3" priority="26">
      <formula>$D77="Non testé"</formula>
    </cfRule>
  </conditionalFormatting>
  <conditionalFormatting sqref="D14:E48 D49:D50 D72:D73 D77:E79 D81:E119 D80">
    <cfRule type="expression" dxfId="2" priority="27">
      <formula>$D14="Dérogé"</formula>
    </cfRule>
    <cfRule type="expression" dxfId="1" priority="28">
      <formula>$D14="Conforme"</formula>
    </cfRule>
    <cfRule type="expression" dxfId="0" priority="29">
      <formula>$D14="Non conforme"</formula>
    </cfRule>
  </conditionalFormatting>
  <dataValidations count="2">
    <dataValidation operator="equal" allowBlank="1" showInputMessage="1" showErrorMessage="1" prompt="Format JJ/MM/AAAA" sqref="D3" xr:uid="{00000000-0002-0000-0000-000000000000}">
      <formula1>0</formula1>
      <formula2>0</formula2>
    </dataValidation>
    <dataValidation type="list" operator="equal" allowBlank="1" showInputMessage="1" showErrorMessage="1" sqref="D14:D119" xr:uid="{00000000-0002-0000-0000-000001000000}">
      <formula1>"Conforme,Non conforme,Non applicable,Dérogé,Non testé"</formula1>
      <formula2>0</formula2>
    </dataValidation>
  </dataValidations>
  <hyperlinks>
    <hyperlink ref="E124" r:id="rId1" xr:uid="{00000000-0004-0000-0000-000000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2</cp:revision>
  <dcterms:created xsi:type="dcterms:W3CDTF">2025-03-05T16:22:31Z</dcterms:created>
  <dcterms:modified xsi:type="dcterms:W3CDTF">2025-07-16T09:42:15Z</dcterms:modified>
  <cp:category/>
  <cp:contentStatus/>
</cp:coreProperties>
</file>
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ROSSIROJAS-32001\Documents\"/>
    </mc:Choice>
  </mc:AlternateContent>
  <bookViews>
    <workbookView xWindow="0" yWindow="0" windowWidth="23040" windowHeight="8616"/>
  </bookViews>
  <sheets>
    <sheet name="NotificationBar" sheetId="3"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3" l="1"/>
  <c r="D12" i="3" s="1"/>
  <c r="D9" i="3"/>
  <c r="D14" i="3" s="1"/>
  <c r="D8" i="3"/>
  <c r="D13" i="3" s="1"/>
  <c r="D6" i="3"/>
  <c r="D11" i="3" s="1"/>
  <c r="D5" i="3"/>
  <c r="D10" i="3" s="1"/>
</calcChain>
</file>

<file path=xl/sharedStrings.xml><?xml version="1.0" encoding="utf-8"?>
<sst xmlns="http://schemas.openxmlformats.org/spreadsheetml/2006/main" count="379" uniqueCount="275">
  <si>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</si>
  <si>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</si>
  <si>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</si>
  <si>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</si>
  <si>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</si>
  <si>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</si>
  <si>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</si>
  <si>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</si>
  <si>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</si>
  <si>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</si>
  <si>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</si>
  <si>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</si>
  <si>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</si>
  <si>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</si>
  <si>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</si>
  <si>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</si>
  <si>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</si>
  <si>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</si>
  <si>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</si>
  <si>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</si>
  <si>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</si>
  <si>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</si>
  <si>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</si>
  <si>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</si>
  <si>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</si>
  <si>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</si>
  <si>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</si>
  <si>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</si>
  <si>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</si>
  <si>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</si>
  <si>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</si>
  <si>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</si>
  <si>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</si>
  <si>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</si>
  <si>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</si>
  <si>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</si>
  <si>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</si>
  <si>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</si>
  <si>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</si>
  <si>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</si>
  <si>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</si>
  <si>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</si>
  <si>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</si>
  <si>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</si>
  <si>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</si>
  <si>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</si>
  <si>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</si>
  <si>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</si>
  <si>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</si>
  <si>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</si>
  <si>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</si>
  <si>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</si>
  <si>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</si>
  <si>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</si>
  <si>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</si>
  <si>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</si>
  <si>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</si>
  <si>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</si>
  <si>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</si>
  <si>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</si>
  <si>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</si>
  <si>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</si>
  <si>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</si>
  <si>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</si>
  <si>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</si>
  <si>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</si>
  <si>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</si>
  <si>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</si>
  <si>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</si>
  <si>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</si>
  <si>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</si>
  <si>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</si>
  <si>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</si>
  <si>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</si>
  <si>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</si>
  <si>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</si>
  <si>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</si>
  <si>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</si>
  <si>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</si>
  <si>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</si>
  <si>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</si>
  <si>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</si>
  <si>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</si>
  <si>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</si>
  <si>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</si>
  <si>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</si>
  <si>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</si>
  <si>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</si>
  <si>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</si>
  <si>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</si>
  <si>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</si>
  <si>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</si>
  <si>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</si>
  <si>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</si>
  <si>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</si>
  <si>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</si>
  <si>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</si>
  <si>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</si>
  <si>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</si>
  <si>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</si>
  <si>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</si>
  <si>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</si>
  <si>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</si>
  <si>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</si>
  <si>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</si>
  <si>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</si>
  <si>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</si>
  <si>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</si>
  <si>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</si>
  <si>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</si>
  <si>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</si>
  <si>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</si>
  <si>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</si>
  <si>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</si>
  <si>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</si>
  <si>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</si>
  <si>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</si>
  <si>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</si>
  <si>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</si>
  <si>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</si>
  <si>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</si>
  <si>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</si>
  <si>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</si>
  <si>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</si>
  <si>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</si>
  <si>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</si>
  <si>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</si>
  <si>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</si>
  <si>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</si>
  <si>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</si>
  <si>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</si>
  <si>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</si>
  <si>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</si>
  <si>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</si>
  <si>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</si>
  <si>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</si>
  <si>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</si>
  <si>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</si>
  <si>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</si>
  <si>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</si>
  <si>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</si>
  <si>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</si>
  <si>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</si>
  <si>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</si>
  <si>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</si>
  <si>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</si>
  <si>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</si>
  <si>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</si>
  <si>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</si>
  <si>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</si>
  <si>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</si>
  <si>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</si>
  <si>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</si>
  <si>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</si>
  <si>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</si>
  <si>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</si>
  <si>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</si>
  <si>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</si>
  <si>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</si>
  <si>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</si>
  <si>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</si>
  <si>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</si>
  <si>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</si>
  <si>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</si>
  <si>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</si>
  <si>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</si>
  <si>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</si>
  <si>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</si>
  <si>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</si>
  <si>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</si>
  <si>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</si>
  <si>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</si>
  <si>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</si>
  <si>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</si>
  <si>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</si>
  <si>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</si>
  <si>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</si>
  <si>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</si>
  <si>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</si>
  <si>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</si>
  <si>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</si>
  <si>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</si>
  <si>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</si>
  <si>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</si>
  <si>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</si>
  <si>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</si>
  <si>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</si>
  <si>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</si>
  <si>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</si>
  <si>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</si>
  <si>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</si>
  <si>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</si>
  <si>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</si>
  <si>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</si>
  <si>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</si>
  <si>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</si>
  <si>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</si>
  <si>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</si>
  <si>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</si>
  <si>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</si>
  <si>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</si>
  <si>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</si>
  <si>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</si>
  <si>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</si>
  <si>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</si>
  <si>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</si>
  <si>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</si>
  <si>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</si>
  <si>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</si>
  <si>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</si>
  <si>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</si>
  <si>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</si>
  <si>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</si>
  <si>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</si>
  <si>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</si>
  <si>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</si>
  <si>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</si>
  <si>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</si>
  <si>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</si>
  <si>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</si>
  <si>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</si>
  <si>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</si>
  <si>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</si>
  <si>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</si>
  <si>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</si>
  <si>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</si>
  <si>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</si>
  <si>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</si>
  <si>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Non testé</t>
  </si>
  <si>
    <t>Description de l'erreur / Remarques / Questions</t>
  </si>
  <si>
    <t>Numéro de ticket</t>
  </si>
  <si>
    <t>N° critère</t>
  </si>
  <si>
    <t>Nombre de critères conformes</t>
  </si>
  <si>
    <t>Nombre de critères non conformes</t>
  </si>
  <si>
    <t>Nombre de critères dérogés</t>
  </si>
  <si>
    <t>Nombre de critères non testés</t>
  </si>
  <si>
    <t>Pourcentage de critères conformes</t>
  </si>
  <si>
    <t>Pourcentage de critères non testés</t>
  </si>
  <si>
    <t>Pourcentage de critères dérogés</t>
  </si>
  <si>
    <t>Pourcentage de critères non conformes</t>
  </si>
  <si>
    <t>Conforme</t>
  </si>
  <si>
    <t>Non conforme</t>
  </si>
  <si>
    <t>Non applicable</t>
  </si>
  <si>
    <t>Date</t>
  </si>
  <si>
    <t>Composant : NotificationBar</t>
  </si>
  <si>
    <t>Spécificité</t>
  </si>
  <si>
    <t>Source technique</t>
  </si>
  <si>
    <t>Le widget ne doit pas disparaître automatiquement à l'écran, seulement par une action manuelle, sous peine que le message ne puisse être retranscrit complètement par le lecteur d'écran.</t>
  </si>
  <si>
    <t>https://www.accede-web.com/notices/interface-riche/message-dalerte/</t>
  </si>
  <si>
    <t>Dépendance bouton</t>
  </si>
  <si>
    <t>Default : fond bleu, texte blanc 14px =&gt; ratio contraste 9,38
Success : fond vert, texte blanc 14px =&gt; ratio contraste 11,14
Warning : fond jaune, texte noir 14px =&gt; ratio contraste 11,18
Erreur : fond rouge, texte blanc 14px =&gt; ratio contraste 5,73</t>
  </si>
  <si>
    <t>Nombre de critères non applicable</t>
  </si>
  <si>
    <t>Pourcentage de critères non applicable</t>
  </si>
  <si>
    <t>- https://www.w3.org/WAI/ARIA/apg/patterns/alert/
- https://vuetifyjs.com/en/components/alerts/#accessibility
- https://developer.mozilla.org/fr/docs/Web/Accessibility/ARIA/Roles/alert_role
- https://developer.mozilla.org/fr/docs/Web/Accessibility/ARIA/Roles/status_role</t>
  </si>
  <si>
    <t>N'a pu le tester du fait de l'erreur 7.1</t>
  </si>
  <si>
    <t>Voir erreur 7.1</t>
  </si>
  <si>
    <t>La technologie d'assistance ne réussit pas à restituer le contenu (répétition à 2 reprises du bouton qui permet d'envoyer la notification).  De plus, il faut différencier les rôles status (default/infos) et alert (warning/error)</t>
  </si>
  <si>
    <t>Testé avec un texte de 367 caractères (Sauf si mode = circle)</t>
  </si>
  <si>
    <t>Le texte en paragraphe possède un fond hérité de la div du contenant. Idem pour les boutons. Aucune image utilisée pour ce composant.</t>
  </si>
  <si>
    <t>Testé avec un texte de 367 caractères sur 256px et 320px =&gt; le composant prend la valeur minimale de 344px, le texte est donc tronqué.
Testé avec un texte de 424 caractères sur 320px =&gt; le composant ne permet pas le défilement afin de permettre la visualisuation complète du contenu.</t>
  </si>
  <si>
    <t>L'information reste compréhensible car chaque élément utilise un élément HTML approprié et l'ordre ne nuit pas à la compréhension du composant.</t>
  </si>
  <si>
    <t>Visibilité de l'icône, du texte et des deux boutons "Valider" et "Annuler".</t>
  </si>
  <si>
    <t>Testé avec Assistant RGAA :
body {
line-height: 1.5 !important;
letter-spacing: 0.12em !important;
 word-spacing: 0.16em !important;
}
p { margin-bottom: 2em !important; }</t>
  </si>
  <si>
    <t>A pu lancer le composant en n'utilisant que le clavier =&gt; Touche Entrée sur le bouton d'activation de la notification</t>
  </si>
  <si>
    <t>Icône ignorée par les technologies d'assistance : présence de aria-hidden="true" sur svg
C'est le texte qui détermine si la notification est une erreur, un succès, un warning ou une simple information.</t>
  </si>
  <si>
    <t>Dépendance bouton (bonne pratique hover/focus)</t>
  </si>
  <si>
    <t>Icône spécifique pour les notifications "erreur" et "succès". 
Amélioration : En revanche, nous avons la même icône pour "default" (info) et "warning". On pourrait utiliser une icône avec un triangle et un rond pour le warning.</t>
  </si>
  <si>
    <t>Amélioration : Le focus n'est pas mit directement sur le composant lors de son affichage. Donc le critère ne concerne pas le composant.
La fermeture de la NotificationBar reste possible en cliquant sur le bouton "Fermer". Cependant, s'agissant d'un composant qui se superpose au contenu gênant ainsi sa consultation, il faut un mécanisme de fermeture par clavier (touche Echap).</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</si>
  <si>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
Amélioration : Les types "success" et "warning" ont un style inline ajoutant des couleurs sur le contenant contrairement aux autres types. Il existe d'autres styles inline comme sur l'icône.</t>
  </si>
  <si>
    <t>Le composant doit être présent dans le DOM au chargement de la page et être peuplé dynamiquement à son déclenchement. Cela évite des problématiques de restitution avec des lecteurs d'écran.</t>
  </si>
  <si>
    <t>- https://www.w3.org/WAI/ARIA/apg/patterns/alert/
- https://www.accede-web.com/notices/interface-riche/message-dalerte/</t>
  </si>
  <si>
    <t>Le widget doit avoir un rôle alert lorsque le type est important (erreur; ex: "Le champ Prénom est obligatoire pour valider la création du compte") et où l'attention de l'utilisateur doit être sollicitée. Dans les autres cas, il convient d'utiliser status (ex: "Les modifications ont bien été enregistrées").</t>
  </si>
  <si>
    <t>Version</t>
  </si>
  <si>
    <t>0.0.8-alpha</t>
  </si>
  <si>
    <t>1- Le rôle dans le type "erreur" n'est pas approprié =&gt; il doit être "alert" (voir spécificités)
2- Le lecteur d'écran VoiceOver n'arrive pas à restituer le contenu (répétition à 2 reprises du bouton qui permet d'envoyer la notification). Raison : La NotificationBar doit être présente dans le DOM au chargement de la page et ne pas la créer lorsque l'on souhaite l'afficher. Aucun problème rencontré avec Talkback.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</si>
</sst>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u/>
      <sz val="12"/>
      <color theme="1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s>
  <fills count="6">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s>
  <borders count="13">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8" fillId="0" borderId="0" applyNumberFormat="0" applyFill="0" applyBorder="0" applyAlignment="0" applyProtection="0"/>
  </cellStyleXfs>
  <cellXfs count="38">
    <xf numFmtId="0" fontId="0" fillId="0" borderId="0" xfId="0"/>
    <xf numFmtId="0" fontId="3" fillId="0" borderId="0" xfId="0" applyFont="1"/>
    <xf numFmtId="0" fontId="4" fillId="0" borderId="3" xfId="0" applyFont="1" applyBorder="1" applyAlignment="1">
      <alignment horizontal="center" vertical="center" wrapText="1"/>
    </xf>
    <xf numFmtId="0" fontId="5" fillId="0" borderId="3" xfId="0" applyFont="1" applyBorder="1" applyAlignment="1">
      <alignment horizontal="left" vertical="center" wrapText="1"/>
    </xf>
    <xf numFmtId="0" fontId="7" fillId="3" borderId="6" xfId="0" applyFont="1" applyFill="1" applyBorder="1"/>
    <xf numFmtId="0" fontId="3" fillId="0" borderId="0" xfId="0" applyFont="1" applyFill="1"/>
    <xf numFmtId="0" fontId="6" fillId="2" borderId="7" xfId="0" applyFont="1" applyFill="1" applyBorder="1" applyAlignment="1">
      <alignment horizontal="left" vertical="top"/>
    </xf>
    <xf numFmtId="0" fontId="7" fillId="3" borderId="8" xfId="0" applyFont="1" applyFill="1" applyBorder="1"/>
    <xf numFmtId="0" fontId="7" fillId="3" borderId="9" xfId="0" applyFont="1" applyFill="1" applyBorder="1"/>
    <xf numFmtId="0" fontId="9" fillId="0" borderId="0" xfId="0" applyFont="1" applyFill="1" applyBorder="1" applyAlignment="1">
      <alignment horizontal="center" vertical="center" wrapText="1"/>
    </xf>
    <xf numFmtId="0" fontId="3" fillId="0" borderId="6" xfId="0" applyFont="1" applyBorder="1" applyAlignment="1">
      <alignment horizontal="left" vertical="top"/>
    </xf>
    <xf numFmtId="14" fontId="11" fillId="0" borderId="6" xfId="0" applyNumberFormat="1" applyFont="1" applyFill="1" applyBorder="1"/>
    <xf numFmtId="0" fontId="11" fillId="0" borderId="6" xfId="0" applyFont="1" applyFill="1" applyBorder="1"/>
    <xf numFmtId="9" fontId="11" fillId="0" borderId="6" xfId="1" applyFont="1" applyFill="1" applyBorder="1"/>
    <xf numFmtId="0" fontId="12" fillId="3" borderId="6" xfId="0" applyFont="1" applyFill="1" applyBorder="1"/>
    <xf numFmtId="0" fontId="3" fillId="0" borderId="6" xfId="0" applyFont="1" applyBorder="1" applyAlignment="1">
      <alignment horizontal="left" vertical="top" wrapText="1"/>
    </xf>
    <xf numFmtId="0" fontId="3" fillId="0" borderId="6" xfId="0" quotePrefix="1" applyFont="1" applyBorder="1" applyAlignment="1">
      <alignment horizontal="left" vertical="top" wrapText="1"/>
    </xf>
    <xf numFmtId="0" fontId="10" fillId="0" borderId="0" xfId="0" applyFont="1" applyFill="1" applyBorder="1" applyAlignment="1">
      <alignment horizontal="left" vertical="top" wrapText="1"/>
    </xf>
    <xf numFmtId="9" fontId="11" fillId="0" borderId="0" xfId="1" applyFont="1" applyFill="1" applyBorder="1"/>
    <xf numFmtId="0" fontId="3" fillId="0" borderId="0" xfId="0" applyFont="1" applyBorder="1" applyAlignment="1">
      <alignment horizontal="left" vertical="top" wrapText="1"/>
    </xf>
    <xf numFmtId="0" fontId="3" fillId="0" borderId="0" xfId="0" applyFont="1" applyBorder="1" applyAlignment="1">
      <alignment horizontal="left" vertical="top"/>
    </xf>
    <xf numFmtId="0" fontId="8" fillId="0" borderId="6" xfId="2" applyBorder="1" applyAlignment="1">
      <alignment horizontal="left" vertical="top"/>
    </xf>
    <xf numFmtId="0" fontId="8" fillId="0" borderId="6" xfId="2" quotePrefix="1" applyBorder="1" applyAlignment="1">
      <alignment horizontal="left" vertical="top" wrapText="1"/>
    </xf>
    <xf numFmtId="0" fontId="11" fillId="0" borderId="6" xfId="0" applyFont="1" applyFill="1" applyBorder="1" applyAlignment="1">
      <alignment horizontal="right" vertical="top"/>
    </xf>
    <xf numFmtId="0" fontId="2" fillId="4" borderId="5" xfId="0" applyFont="1" applyFill="1" applyBorder="1" applyAlignment="1">
      <alignment horizontal="center" vertical="center" textRotation="90" wrapText="1"/>
    </xf>
    <xf numFmtId="0" fontId="2" fillId="4" borderId="4" xfId="0" applyFont="1" applyFill="1" applyBorder="1" applyAlignment="1">
      <alignment horizontal="center" vertical="center" textRotation="90" wrapText="1"/>
    </xf>
    <xf numFmtId="0" fontId="2" fillId="4" borderId="2" xfId="0" applyFont="1" applyFill="1" applyBorder="1" applyAlignment="1">
      <alignment horizontal="center" vertical="center" textRotation="90" wrapText="1"/>
    </xf>
    <xf numFmtId="0" fontId="10" fillId="0" borderId="6" xfId="0" applyFont="1" applyFill="1" applyBorder="1" applyAlignment="1">
      <alignment horizontal="left" vertical="top" wrapText="1"/>
    </xf>
    <xf numFmtId="0" fontId="2" fillId="4" borderId="10" xfId="0" applyFont="1" applyFill="1" applyBorder="1" applyAlignment="1">
      <alignment horizontal="center" vertical="center" textRotation="90" wrapText="1"/>
    </xf>
    <xf numFmtId="0" fontId="2" fillId="5" borderId="1" xfId="0" applyFont="1" applyFill="1" applyBorder="1" applyAlignment="1">
      <alignment horizontal="center" vertical="center" wrapText="1"/>
    </xf>
    <xf numFmtId="0" fontId="10" fillId="0" borderId="7" xfId="0" applyFont="1" applyFill="1" applyBorder="1" applyAlignment="1">
      <alignment horizontal="left" vertical="top" wrapText="1"/>
    </xf>
    <xf numFmtId="0" fontId="10" fillId="0" borderId="11" xfId="0" applyFont="1" applyFill="1" applyBorder="1" applyAlignment="1">
      <alignment horizontal="left" vertical="top" wrapText="1"/>
    </xf>
    <xf numFmtId="0" fontId="10" fillId="0" borderId="12" xfId="0" applyFont="1" applyFill="1" applyBorder="1" applyAlignment="1">
      <alignment horizontal="left" vertical="top" wrapText="1"/>
    </xf>
    <xf numFmtId="0" fontId="3" fillId="0" borderId="7" xfId="0" applyFont="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12" fillId="3" borderId="6" xfId="0" applyFont="1" applyFill="1" applyBorder="1" applyAlignment="1">
      <alignment horizontal="left"/>
    </xf>
    <xf numFmtId="0" fontId="3" fillId="0" borderId="6" xfId="0" applyFont="1" applyBorder="1" applyAlignment="1">
      <alignment horizontal="left" vertical="top" wrapText="1"/>
    </xf>
  </cellXfs>
  <cellStyles count="3">
    <cellStyle name="Lien hypertexte" xfId="2" builtinId="8"/>
    <cellStyle name="Normal" xfId="0" builtinId="0"/>
    <cellStyle name="Pourcentage" xfId="1" builtinId="5"/>
  </cellStyles>
  <dxfs count="4">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accede-web.com/notices/interface-riche/message-dalerte/" TargetMode="External"/><Relationship Id="rId1" Type="http://schemas.openxmlformats.org/officeDocument/2006/relationships/hyperlink" Target="https://www.accede-web.com/notices/interface-riche/message-daler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1"/>
  <sheetViews>
    <sheetView tabSelected="1" zoomScale="70" zoomScaleNormal="70" workbookViewId="0">
      <selection activeCell="A129" sqref="A129:D129"/>
    </sheetView>
  </sheetViews>
  <sheetFormatPr baseColWidth="10" defaultColWidth="10.81640625" defaultRowHeight="15"/>
  <cols>
    <col min="1" max="1" width="15" style="1" customWidth="1"/>
    <col min="2" max="2" width="10.36328125" style="1" bestFit="1" customWidth="1"/>
    <col min="3" max="3" width="59.81640625" style="1" customWidth="1"/>
    <col min="4" max="4" width="14.453125" style="1" bestFit="1" customWidth="1"/>
    <col min="5" max="5" width="106.6328125" style="1" customWidth="1"/>
    <col min="6" max="6" width="17.81640625" style="1" bestFit="1" customWidth="1"/>
    <col min="7" max="16384" width="10.81640625" style="1"/>
  </cols>
  <sheetData>
    <row r="1" spans="1:4" ht="31.95" customHeight="1">
      <c r="A1" s="29" t="s">
        <v>244</v>
      </c>
      <c r="B1" s="29"/>
      <c r="C1" s="29"/>
    </row>
    <row r="2" spans="1:4" s="5" customFormat="1">
      <c r="A2" s="9"/>
      <c r="B2" s="9"/>
      <c r="C2" s="9"/>
    </row>
    <row r="3" spans="1:4" s="5" customFormat="1" ht="17.399999999999999">
      <c r="A3" s="27" t="s">
        <v>243</v>
      </c>
      <c r="B3" s="27"/>
      <c r="C3" s="27"/>
      <c r="D3" s="11">
        <v>45721</v>
      </c>
    </row>
    <row r="4" spans="1:4" s="5" customFormat="1" ht="17.399999999999999">
      <c r="A4" s="30" t="s">
        <v>272</v>
      </c>
      <c r="B4" s="31"/>
      <c r="C4" s="32"/>
      <c r="D4" s="23" t="s">
        <v>273</v>
      </c>
    </row>
    <row r="5" spans="1:4" s="5" customFormat="1" ht="16.05" customHeight="1">
      <c r="A5" s="27" t="s">
        <v>232</v>
      </c>
      <c r="B5" s="27"/>
      <c r="C5" s="27"/>
      <c r="D5" s="12">
        <f xml:space="preserve"> COUNTIF($D$19:$D$124,"Conforme")</f>
        <v>10</v>
      </c>
    </row>
    <row r="6" spans="1:4" s="5" customFormat="1" ht="17.399999999999999">
      <c r="A6" s="27" t="s">
        <v>233</v>
      </c>
      <c r="B6" s="27"/>
      <c r="C6" s="27"/>
      <c r="D6" s="12">
        <f xml:space="preserve"> COUNTIF($D$19:$D$124,"Non conforme")</f>
        <v>3</v>
      </c>
    </row>
    <row r="7" spans="1:4" s="5" customFormat="1" ht="17.399999999999999">
      <c r="A7" s="27" t="s">
        <v>251</v>
      </c>
      <c r="B7" s="27"/>
      <c r="C7" s="27"/>
      <c r="D7" s="12">
        <f xml:space="preserve"> COUNTIF($D$19:$D$124,"Non applicable")</f>
        <v>88</v>
      </c>
    </row>
    <row r="8" spans="1:4" s="5" customFormat="1" ht="17.399999999999999">
      <c r="A8" s="27" t="s">
        <v>234</v>
      </c>
      <c r="B8" s="27"/>
      <c r="C8" s="27"/>
      <c r="D8" s="12">
        <f xml:space="preserve"> COUNTIF($D$19:$D$124,"Dérogé")</f>
        <v>0</v>
      </c>
    </row>
    <row r="9" spans="1:4" s="5" customFormat="1" ht="17.399999999999999">
      <c r="A9" s="27" t="s">
        <v>235</v>
      </c>
      <c r="B9" s="27"/>
      <c r="C9" s="27"/>
      <c r="D9" s="12">
        <f xml:space="preserve"> COUNTIF($D$19:$D$124,"Non testé")</f>
        <v>5</v>
      </c>
    </row>
    <row r="10" spans="1:4" s="5" customFormat="1" ht="17.399999999999999">
      <c r="A10" s="27" t="s">
        <v>236</v>
      </c>
      <c r="B10" s="27"/>
      <c r="C10" s="27"/>
      <c r="D10" s="13">
        <f>$D5/COUNTA($B$19:$B$124)</f>
        <v>9.4339622641509441E-2</v>
      </c>
    </row>
    <row r="11" spans="1:4" s="5" customFormat="1" ht="17.399999999999999">
      <c r="A11" s="27" t="s">
        <v>239</v>
      </c>
      <c r="B11" s="27"/>
      <c r="C11" s="27"/>
      <c r="D11" s="13">
        <f>$D6/COUNTA($B$19:$B$124)</f>
        <v>2.8301886792452831E-2</v>
      </c>
    </row>
    <row r="12" spans="1:4" s="5" customFormat="1" ht="17.399999999999999">
      <c r="A12" s="27" t="s">
        <v>252</v>
      </c>
      <c r="B12" s="27"/>
      <c r="C12" s="27"/>
      <c r="D12" s="13">
        <f>$D7/COUNTA($B$19:$B$124)</f>
        <v>0.83018867924528306</v>
      </c>
    </row>
    <row r="13" spans="1:4" s="5" customFormat="1" ht="17.399999999999999">
      <c r="A13" s="27" t="s">
        <v>238</v>
      </c>
      <c r="B13" s="27"/>
      <c r="C13" s="27"/>
      <c r="D13" s="13">
        <f>$D8/COUNTA($B$19:$B$124)</f>
        <v>0</v>
      </c>
    </row>
    <row r="14" spans="1:4" s="5" customFormat="1" ht="17.399999999999999">
      <c r="A14" s="27" t="s">
        <v>237</v>
      </c>
      <c r="B14" s="27"/>
      <c r="C14" s="27"/>
      <c r="D14" s="13">
        <f>$D9/COUNTA($B$19:$B$124)</f>
        <v>4.716981132075472E-2</v>
      </c>
    </row>
    <row r="15" spans="1:4" s="5" customFormat="1" ht="17.399999999999999">
      <c r="A15" s="17"/>
      <c r="B15" s="17"/>
      <c r="C15" s="17"/>
      <c r="D15" s="18"/>
    </row>
    <row r="16" spans="1:4" s="5" customFormat="1" ht="17.399999999999999">
      <c r="A16" s="17"/>
      <c r="B16" s="17"/>
      <c r="C16" s="17"/>
      <c r="D16" s="18"/>
    </row>
    <row r="17" spans="1:12" s="5" customFormat="1">
      <c r="A17" s="9"/>
      <c r="B17" s="9"/>
      <c r="C17" s="9"/>
    </row>
    <row r="18" spans="1:12" ht="17.399999999999999">
      <c r="A18" s="4" t="s">
        <v>0</v>
      </c>
      <c r="B18" s="4" t="s">
        <v>231</v>
      </c>
      <c r="C18" s="4" t="s">
        <v>1</v>
      </c>
      <c r="D18" s="4" t="s">
        <v>227</v>
      </c>
      <c r="E18" s="7" t="s">
        <v>229</v>
      </c>
      <c r="F18" s="8" t="s">
        <v>230</v>
      </c>
      <c r="G18" s="8"/>
    </row>
    <row r="19" spans="1:12" ht="17.399999999999999">
      <c r="A19" s="28" t="s">
        <v>2</v>
      </c>
      <c r="B19" s="2" t="s">
        <v>3</v>
      </c>
      <c r="C19" s="3" t="s">
        <v>4</v>
      </c>
      <c r="D19" s="6" t="s">
        <v>242</v>
      </c>
      <c r="E19" s="15"/>
      <c r="F19" s="10"/>
    </row>
    <row r="20" spans="1:12" ht="30">
      <c r="A20" s="25"/>
      <c r="B20" s="2" t="s">
        <v>5</v>
      </c>
      <c r="C20" s="3" t="s">
        <v>6</v>
      </c>
      <c r="D20" s="6" t="s">
        <v>240</v>
      </c>
      <c r="E20" s="15" t="s">
        <v>264</v>
      </c>
      <c r="F20" s="10"/>
    </row>
    <row r="21" spans="1:12" ht="30">
      <c r="A21" s="25"/>
      <c r="B21" s="2" t="s">
        <v>7</v>
      </c>
      <c r="C21" s="3" t="s">
        <v>8</v>
      </c>
      <c r="D21" s="6" t="s">
        <v>242</v>
      </c>
      <c r="E21" s="15"/>
      <c r="F21" s="10"/>
    </row>
    <row r="22" spans="1:12" ht="45">
      <c r="A22" s="25"/>
      <c r="B22" s="2" t="s">
        <v>9</v>
      </c>
      <c r="C22" s="3" t="s">
        <v>10</v>
      </c>
      <c r="D22" s="6" t="s">
        <v>242</v>
      </c>
      <c r="E22" s="15"/>
      <c r="F22" s="10"/>
      <c r="L22" s="5"/>
    </row>
    <row r="23" spans="1:12" ht="30">
      <c r="A23" s="25"/>
      <c r="B23" s="2" t="s">
        <v>11</v>
      </c>
      <c r="C23" s="3" t="s">
        <v>12</v>
      </c>
      <c r="D23" s="6" t="s">
        <v>242</v>
      </c>
      <c r="E23" s="15"/>
      <c r="F23" s="10"/>
    </row>
    <row r="24" spans="1:12" ht="30">
      <c r="A24" s="25"/>
      <c r="B24" s="2" t="s">
        <v>13</v>
      </c>
      <c r="C24" s="3" t="s">
        <v>14</v>
      </c>
      <c r="D24" s="6" t="s">
        <v>242</v>
      </c>
      <c r="E24" s="15"/>
      <c r="F24" s="10"/>
    </row>
    <row r="25" spans="1:12" ht="30">
      <c r="A25" s="25"/>
      <c r="B25" s="2" t="s">
        <v>15</v>
      </c>
      <c r="C25" s="3" t="s">
        <v>16</v>
      </c>
      <c r="D25" s="6" t="s">
        <v>242</v>
      </c>
      <c r="E25" s="15"/>
      <c r="F25" s="10"/>
    </row>
    <row r="26" spans="1:12" ht="45">
      <c r="A26" s="25"/>
      <c r="B26" s="2" t="s">
        <v>17</v>
      </c>
      <c r="C26" s="3" t="s">
        <v>18</v>
      </c>
      <c r="D26" s="6" t="s">
        <v>242</v>
      </c>
      <c r="E26" s="15"/>
      <c r="F26" s="10"/>
    </row>
    <row r="27" spans="1:12" ht="30">
      <c r="A27" s="26"/>
      <c r="B27" s="2" t="s">
        <v>19</v>
      </c>
      <c r="C27" s="3" t="s">
        <v>20</v>
      </c>
      <c r="D27" s="6" t="s">
        <v>242</v>
      </c>
      <c r="E27" s="15"/>
      <c r="F27" s="10"/>
    </row>
    <row r="28" spans="1:12" ht="17.399999999999999">
      <c r="A28" s="24" t="s">
        <v>21</v>
      </c>
      <c r="B28" s="2" t="s">
        <v>22</v>
      </c>
      <c r="C28" s="3" t="s">
        <v>23</v>
      </c>
      <c r="D28" s="6" t="s">
        <v>242</v>
      </c>
      <c r="E28" s="15"/>
      <c r="F28" s="10"/>
    </row>
    <row r="29" spans="1:12" ht="30">
      <c r="A29" s="26"/>
      <c r="B29" s="2" t="s">
        <v>24</v>
      </c>
      <c r="C29" s="3" t="s">
        <v>25</v>
      </c>
      <c r="D29" s="6" t="s">
        <v>242</v>
      </c>
      <c r="E29" s="15"/>
      <c r="F29" s="10"/>
    </row>
    <row r="30" spans="1:12" ht="45">
      <c r="A30" s="24" t="s">
        <v>26</v>
      </c>
      <c r="B30" s="2" t="s">
        <v>27</v>
      </c>
      <c r="C30" s="3" t="s">
        <v>28</v>
      </c>
      <c r="D30" s="6" t="s">
        <v>240</v>
      </c>
      <c r="E30" s="15" t="s">
        <v>266</v>
      </c>
      <c r="F30" s="10"/>
    </row>
    <row r="31" spans="1:12" ht="60">
      <c r="A31" s="25"/>
      <c r="B31" s="2" t="s">
        <v>29</v>
      </c>
      <c r="C31" s="3" t="s">
        <v>30</v>
      </c>
      <c r="D31" s="6" t="s">
        <v>240</v>
      </c>
      <c r="E31" s="15" t="s">
        <v>250</v>
      </c>
      <c r="F31" s="10"/>
    </row>
    <row r="32" spans="1:12" ht="45">
      <c r="A32" s="26"/>
      <c r="B32" s="2" t="s">
        <v>31</v>
      </c>
      <c r="C32" s="3" t="s">
        <v>32</v>
      </c>
      <c r="D32" s="6" t="s">
        <v>228</v>
      </c>
      <c r="E32" s="15" t="s">
        <v>265</v>
      </c>
      <c r="F32" s="10"/>
    </row>
    <row r="33" spans="1:6" ht="30">
      <c r="A33" s="24" t="s">
        <v>33</v>
      </c>
      <c r="B33" s="2" t="s">
        <v>34</v>
      </c>
      <c r="C33" s="3" t="s">
        <v>35</v>
      </c>
      <c r="D33" s="6" t="s">
        <v>242</v>
      </c>
      <c r="E33" s="15"/>
      <c r="F33" s="10"/>
    </row>
    <row r="34" spans="1:6" ht="45">
      <c r="A34" s="25"/>
      <c r="B34" s="2" t="s">
        <v>36</v>
      </c>
      <c r="C34" s="3" t="s">
        <v>37</v>
      </c>
      <c r="D34" s="6" t="s">
        <v>242</v>
      </c>
      <c r="E34" s="15"/>
      <c r="F34" s="10"/>
    </row>
    <row r="35" spans="1:6" ht="30">
      <c r="A35" s="25"/>
      <c r="B35" s="2" t="s">
        <v>38</v>
      </c>
      <c r="C35" s="3" t="s">
        <v>39</v>
      </c>
      <c r="D35" s="6" t="s">
        <v>242</v>
      </c>
      <c r="E35" s="15"/>
      <c r="F35" s="10"/>
    </row>
    <row r="36" spans="1:6" ht="30">
      <c r="A36" s="25"/>
      <c r="B36" s="2" t="s">
        <v>40</v>
      </c>
      <c r="C36" s="3" t="s">
        <v>41</v>
      </c>
      <c r="D36" s="6" t="s">
        <v>242</v>
      </c>
      <c r="E36" s="15"/>
      <c r="F36" s="10"/>
    </row>
    <row r="37" spans="1:6" ht="30">
      <c r="A37" s="25"/>
      <c r="B37" s="2" t="s">
        <v>42</v>
      </c>
      <c r="C37" s="3" t="s">
        <v>43</v>
      </c>
      <c r="D37" s="6" t="s">
        <v>242</v>
      </c>
      <c r="E37" s="15"/>
      <c r="F37" s="10"/>
    </row>
    <row r="38" spans="1:6" ht="30">
      <c r="A38" s="25"/>
      <c r="B38" s="2" t="s">
        <v>44</v>
      </c>
      <c r="C38" s="3" t="s">
        <v>45</v>
      </c>
      <c r="D38" s="6" t="s">
        <v>242</v>
      </c>
      <c r="E38" s="15"/>
      <c r="F38" s="10"/>
    </row>
    <row r="39" spans="1:6" ht="30">
      <c r="A39" s="25"/>
      <c r="B39" s="2" t="s">
        <v>46</v>
      </c>
      <c r="C39" s="3" t="s">
        <v>47</v>
      </c>
      <c r="D39" s="6" t="s">
        <v>242</v>
      </c>
      <c r="E39" s="15"/>
      <c r="F39" s="10"/>
    </row>
    <row r="40" spans="1:6" ht="30">
      <c r="A40" s="25"/>
      <c r="B40" s="2" t="s">
        <v>48</v>
      </c>
      <c r="C40" s="3" t="s">
        <v>49</v>
      </c>
      <c r="D40" s="6" t="s">
        <v>242</v>
      </c>
      <c r="E40" s="15"/>
      <c r="F40" s="10"/>
    </row>
    <row r="41" spans="1:6" ht="30">
      <c r="A41" s="25"/>
      <c r="B41" s="2" t="s">
        <v>50</v>
      </c>
      <c r="C41" s="3" t="s">
        <v>51</v>
      </c>
      <c r="D41" s="6" t="s">
        <v>242</v>
      </c>
      <c r="E41" s="15"/>
      <c r="F41" s="10"/>
    </row>
    <row r="42" spans="1:6" ht="30">
      <c r="A42" s="25"/>
      <c r="B42" s="2" t="s">
        <v>52</v>
      </c>
      <c r="C42" s="3" t="s">
        <v>53</v>
      </c>
      <c r="D42" s="6" t="s">
        <v>242</v>
      </c>
      <c r="E42" s="15"/>
      <c r="F42" s="10"/>
    </row>
    <row r="43" spans="1:6" ht="30">
      <c r="A43" s="25"/>
      <c r="B43" s="2" t="s">
        <v>54</v>
      </c>
      <c r="C43" s="3" t="s">
        <v>55</v>
      </c>
      <c r="D43" s="6" t="s">
        <v>242</v>
      </c>
      <c r="E43" s="15"/>
      <c r="F43" s="10"/>
    </row>
    <row r="44" spans="1:6" ht="30">
      <c r="A44" s="25"/>
      <c r="B44" s="2" t="s">
        <v>56</v>
      </c>
      <c r="C44" s="3" t="s">
        <v>57</v>
      </c>
      <c r="D44" s="6" t="s">
        <v>242</v>
      </c>
      <c r="E44" s="15"/>
      <c r="F44" s="10"/>
    </row>
    <row r="45" spans="1:6" ht="30">
      <c r="A45" s="26"/>
      <c r="B45" s="2" t="s">
        <v>58</v>
      </c>
      <c r="C45" s="3" t="s">
        <v>59</v>
      </c>
      <c r="D45" s="6" t="s">
        <v>242</v>
      </c>
      <c r="E45" s="15"/>
      <c r="F45" s="10"/>
    </row>
    <row r="46" spans="1:6" ht="17.399999999999999">
      <c r="A46" s="24" t="s">
        <v>60</v>
      </c>
      <c r="B46" s="2" t="s">
        <v>61</v>
      </c>
      <c r="C46" s="3" t="s">
        <v>62</v>
      </c>
      <c r="D46" s="6" t="s">
        <v>242</v>
      </c>
      <c r="E46" s="15"/>
      <c r="F46" s="10"/>
    </row>
    <row r="47" spans="1:6" ht="30">
      <c r="A47" s="25"/>
      <c r="B47" s="2" t="s">
        <v>63</v>
      </c>
      <c r="C47" s="3" t="s">
        <v>64</v>
      </c>
      <c r="D47" s="6" t="s">
        <v>242</v>
      </c>
      <c r="E47" s="15"/>
      <c r="F47" s="10"/>
    </row>
    <row r="48" spans="1:6" ht="30">
      <c r="A48" s="25"/>
      <c r="B48" s="2" t="s">
        <v>65</v>
      </c>
      <c r="C48" s="3" t="s">
        <v>66</v>
      </c>
      <c r="D48" s="6" t="s">
        <v>242</v>
      </c>
      <c r="E48" s="15"/>
      <c r="F48" s="10"/>
    </row>
    <row r="49" spans="1:6" ht="30">
      <c r="A49" s="25"/>
      <c r="B49" s="2" t="s">
        <v>67</v>
      </c>
      <c r="C49" s="3" t="s">
        <v>68</v>
      </c>
      <c r="D49" s="6" t="s">
        <v>242</v>
      </c>
      <c r="E49" s="15"/>
      <c r="F49" s="10"/>
    </row>
    <row r="50" spans="1:6" ht="17.399999999999999">
      <c r="A50" s="25"/>
      <c r="B50" s="2" t="s">
        <v>69</v>
      </c>
      <c r="C50" s="3" t="s">
        <v>70</v>
      </c>
      <c r="D50" s="6" t="s">
        <v>242</v>
      </c>
      <c r="E50" s="15"/>
      <c r="F50" s="10"/>
    </row>
    <row r="51" spans="1:6" ht="30">
      <c r="A51" s="25"/>
      <c r="B51" s="2" t="s">
        <v>71</v>
      </c>
      <c r="C51" s="3" t="s">
        <v>72</v>
      </c>
      <c r="D51" s="6" t="s">
        <v>242</v>
      </c>
      <c r="E51" s="15"/>
      <c r="F51" s="10"/>
    </row>
    <row r="52" spans="1:6" ht="45">
      <c r="A52" s="25"/>
      <c r="B52" s="2" t="s">
        <v>73</v>
      </c>
      <c r="C52" s="3" t="s">
        <v>74</v>
      </c>
      <c r="D52" s="6" t="s">
        <v>242</v>
      </c>
      <c r="E52" s="15"/>
      <c r="F52" s="10"/>
    </row>
    <row r="53" spans="1:6" ht="30">
      <c r="A53" s="26"/>
      <c r="B53" s="2" t="s">
        <v>75</v>
      </c>
      <c r="C53" s="3" t="s">
        <v>76</v>
      </c>
      <c r="D53" s="6" t="s">
        <v>242</v>
      </c>
      <c r="E53" s="15"/>
      <c r="F53" s="10"/>
    </row>
    <row r="54" spans="1:6" ht="17.399999999999999">
      <c r="A54" s="24" t="s">
        <v>77</v>
      </c>
      <c r="B54" s="2" t="s">
        <v>78</v>
      </c>
      <c r="C54" s="3" t="s">
        <v>79</v>
      </c>
      <c r="D54" s="6" t="s">
        <v>242</v>
      </c>
      <c r="E54" s="15"/>
      <c r="F54" s="10"/>
    </row>
    <row r="55" spans="1:6" ht="17.399999999999999">
      <c r="A55" s="26"/>
      <c r="B55" s="2" t="s">
        <v>80</v>
      </c>
      <c r="C55" s="3" t="s">
        <v>81</v>
      </c>
      <c r="D55" s="6" t="s">
        <v>242</v>
      </c>
      <c r="E55" s="15"/>
      <c r="F55" s="10"/>
    </row>
    <row r="56" spans="1:6" ht="60">
      <c r="A56" s="24" t="s">
        <v>82</v>
      </c>
      <c r="B56" s="2" t="s">
        <v>83</v>
      </c>
      <c r="C56" s="3" t="s">
        <v>84</v>
      </c>
      <c r="D56" s="6" t="s">
        <v>241</v>
      </c>
      <c r="E56" s="15" t="s">
        <v>274</v>
      </c>
      <c r="F56" s="10"/>
    </row>
    <row r="57" spans="1:6" ht="30">
      <c r="A57" s="25"/>
      <c r="B57" s="2" t="s">
        <v>85</v>
      </c>
      <c r="C57" s="3" t="s">
        <v>86</v>
      </c>
      <c r="D57" s="6" t="s">
        <v>242</v>
      </c>
      <c r="E57" s="15"/>
      <c r="F57" s="10"/>
    </row>
    <row r="58" spans="1:6" ht="30">
      <c r="A58" s="25"/>
      <c r="B58" s="2" t="s">
        <v>87</v>
      </c>
      <c r="C58" s="3" t="s">
        <v>88</v>
      </c>
      <c r="D58" s="6" t="s">
        <v>228</v>
      </c>
      <c r="E58" s="15" t="s">
        <v>254</v>
      </c>
      <c r="F58" s="10"/>
    </row>
    <row r="59" spans="1:6" ht="30">
      <c r="A59" s="25"/>
      <c r="B59" s="2" t="s">
        <v>89</v>
      </c>
      <c r="C59" s="3" t="s">
        <v>90</v>
      </c>
      <c r="D59" s="6" t="s">
        <v>242</v>
      </c>
      <c r="E59" s="15" t="s">
        <v>255</v>
      </c>
      <c r="F59" s="10"/>
    </row>
    <row r="60" spans="1:6" ht="30">
      <c r="A60" s="26"/>
      <c r="B60" s="2" t="s">
        <v>91</v>
      </c>
      <c r="C60" s="3" t="s">
        <v>92</v>
      </c>
      <c r="D60" s="6" t="s">
        <v>241</v>
      </c>
      <c r="E60" s="15" t="s">
        <v>256</v>
      </c>
      <c r="F60" s="10"/>
    </row>
    <row r="61" spans="1:6" ht="17.399999999999999">
      <c r="A61" s="24" t="s">
        <v>93</v>
      </c>
      <c r="B61" s="2" t="s">
        <v>94</v>
      </c>
      <c r="C61" s="3" t="s">
        <v>95</v>
      </c>
      <c r="D61" s="6" t="s">
        <v>242</v>
      </c>
      <c r="E61" s="15"/>
      <c r="F61" s="10"/>
    </row>
    <row r="62" spans="1:6" ht="30">
      <c r="A62" s="25"/>
      <c r="B62" s="2" t="s">
        <v>96</v>
      </c>
      <c r="C62" s="3" t="s">
        <v>97</v>
      </c>
      <c r="D62" s="6" t="s">
        <v>242</v>
      </c>
      <c r="E62" s="15"/>
      <c r="F62" s="10"/>
    </row>
    <row r="63" spans="1:6" ht="17.399999999999999">
      <c r="A63" s="25"/>
      <c r="B63" s="2" t="s">
        <v>98</v>
      </c>
      <c r="C63" s="3" t="s">
        <v>99</v>
      </c>
      <c r="D63" s="6" t="s">
        <v>242</v>
      </c>
      <c r="E63" s="15"/>
      <c r="F63" s="10"/>
    </row>
    <row r="64" spans="1:6" ht="30">
      <c r="A64" s="25"/>
      <c r="B64" s="2" t="s">
        <v>100</v>
      </c>
      <c r="C64" s="3" t="s">
        <v>101</v>
      </c>
      <c r="D64" s="6" t="s">
        <v>242</v>
      </c>
      <c r="E64" s="15"/>
      <c r="F64" s="10"/>
    </row>
    <row r="65" spans="1:6" ht="17.399999999999999">
      <c r="A65" s="25"/>
      <c r="B65" s="2" t="s">
        <v>102</v>
      </c>
      <c r="C65" s="3" t="s">
        <v>103</v>
      </c>
      <c r="D65" s="6" t="s">
        <v>242</v>
      </c>
      <c r="E65" s="15"/>
      <c r="F65" s="10"/>
    </row>
    <row r="66" spans="1:6" ht="17.399999999999999">
      <c r="A66" s="25"/>
      <c r="B66" s="2" t="s">
        <v>104</v>
      </c>
      <c r="C66" s="3" t="s">
        <v>105</v>
      </c>
      <c r="D66" s="6" t="s">
        <v>242</v>
      </c>
      <c r="E66" s="15"/>
      <c r="F66" s="10"/>
    </row>
    <row r="67" spans="1:6" ht="30">
      <c r="A67" s="25"/>
      <c r="B67" s="2" t="s">
        <v>106</v>
      </c>
      <c r="C67" s="3" t="s">
        <v>107</v>
      </c>
      <c r="D67" s="6" t="s">
        <v>242</v>
      </c>
      <c r="E67" s="15"/>
      <c r="F67" s="10"/>
    </row>
    <row r="68" spans="1:6" ht="30">
      <c r="A68" s="25"/>
      <c r="B68" s="2" t="s">
        <v>108</v>
      </c>
      <c r="C68" s="3" t="s">
        <v>109</v>
      </c>
      <c r="D68" s="6" t="s">
        <v>242</v>
      </c>
      <c r="E68" s="15"/>
      <c r="F68" s="10"/>
    </row>
    <row r="69" spans="1:6" ht="30">
      <c r="A69" s="25"/>
      <c r="B69" s="2" t="s">
        <v>110</v>
      </c>
      <c r="C69" s="3" t="s">
        <v>111</v>
      </c>
      <c r="D69" s="6" t="s">
        <v>242</v>
      </c>
      <c r="E69" s="15"/>
      <c r="F69" s="10"/>
    </row>
    <row r="70" spans="1:6" ht="30">
      <c r="A70" s="26"/>
      <c r="B70" s="2" t="s">
        <v>112</v>
      </c>
      <c r="C70" s="3" t="s">
        <v>113</v>
      </c>
      <c r="D70" s="6" t="s">
        <v>242</v>
      </c>
      <c r="E70" s="15"/>
      <c r="F70" s="10"/>
    </row>
    <row r="71" spans="1:6" ht="30">
      <c r="A71" s="24" t="s">
        <v>114</v>
      </c>
      <c r="B71" s="2" t="s">
        <v>115</v>
      </c>
      <c r="C71" s="3" t="s">
        <v>116</v>
      </c>
      <c r="D71" s="6" t="s">
        <v>242</v>
      </c>
      <c r="E71" s="15"/>
      <c r="F71" s="10"/>
    </row>
    <row r="72" spans="1:6" ht="30">
      <c r="A72" s="25"/>
      <c r="B72" s="2" t="s">
        <v>117</v>
      </c>
      <c r="C72" s="3" t="s">
        <v>118</v>
      </c>
      <c r="D72" s="6" t="s">
        <v>242</v>
      </c>
      <c r="E72" s="15"/>
      <c r="F72" s="10"/>
    </row>
    <row r="73" spans="1:6" ht="17.399999999999999">
      <c r="A73" s="25"/>
      <c r="B73" s="2" t="s">
        <v>119</v>
      </c>
      <c r="C73" s="3" t="s">
        <v>120</v>
      </c>
      <c r="D73" s="6" t="s">
        <v>242</v>
      </c>
      <c r="E73" s="15"/>
      <c r="F73" s="10"/>
    </row>
    <row r="74" spans="1:6" ht="30">
      <c r="A74" s="26"/>
      <c r="B74" s="2" t="s">
        <v>121</v>
      </c>
      <c r="C74" s="3" t="s">
        <v>122</v>
      </c>
      <c r="D74" s="6" t="s">
        <v>242</v>
      </c>
      <c r="E74" s="15"/>
      <c r="F74" s="10"/>
    </row>
    <row r="75" spans="1:6" ht="90">
      <c r="A75" s="24" t="s">
        <v>123</v>
      </c>
      <c r="B75" s="2" t="s">
        <v>124</v>
      </c>
      <c r="C75" s="3" t="s">
        <v>125</v>
      </c>
      <c r="D75" s="6" t="s">
        <v>240</v>
      </c>
      <c r="E75" s="15" t="s">
        <v>268</v>
      </c>
      <c r="F75" s="10"/>
    </row>
    <row r="76" spans="1:6" ht="30">
      <c r="A76" s="25"/>
      <c r="B76" s="2" t="s">
        <v>126</v>
      </c>
      <c r="C76" s="3" t="s">
        <v>127</v>
      </c>
      <c r="D76" s="6" t="s">
        <v>240</v>
      </c>
      <c r="E76" s="15" t="s">
        <v>261</v>
      </c>
      <c r="F76" s="10"/>
    </row>
    <row r="77" spans="1:6" ht="30">
      <c r="A77" s="25"/>
      <c r="B77" s="2" t="s">
        <v>128</v>
      </c>
      <c r="C77" s="3" t="s">
        <v>129</v>
      </c>
      <c r="D77" s="6" t="s">
        <v>240</v>
      </c>
      <c r="E77" s="15" t="s">
        <v>260</v>
      </c>
      <c r="F77" s="10"/>
    </row>
    <row r="78" spans="1:6" ht="45">
      <c r="A78" s="25"/>
      <c r="B78" s="2" t="s">
        <v>130</v>
      </c>
      <c r="C78" s="3" t="s">
        <v>131</v>
      </c>
      <c r="D78" s="6" t="s">
        <v>240</v>
      </c>
      <c r="E78" s="15" t="s">
        <v>257</v>
      </c>
      <c r="F78" s="10"/>
    </row>
    <row r="79" spans="1:6" ht="30">
      <c r="A79" s="25"/>
      <c r="B79" s="2" t="s">
        <v>132</v>
      </c>
      <c r="C79" s="3" t="s">
        <v>133</v>
      </c>
      <c r="D79" s="6" t="s">
        <v>240</v>
      </c>
      <c r="E79" s="15" t="s">
        <v>258</v>
      </c>
      <c r="F79" s="10"/>
    </row>
    <row r="80" spans="1:6" ht="30">
      <c r="A80" s="25"/>
      <c r="B80" s="2" t="s">
        <v>134</v>
      </c>
      <c r="C80" s="3" t="s">
        <v>135</v>
      </c>
      <c r="D80" s="6" t="s">
        <v>242</v>
      </c>
      <c r="E80" s="15"/>
      <c r="F80" s="10"/>
    </row>
    <row r="81" spans="1:6" ht="30">
      <c r="A81" s="25"/>
      <c r="B81" s="2" t="s">
        <v>136</v>
      </c>
      <c r="C81" s="3" t="s">
        <v>137</v>
      </c>
      <c r="D81" s="6" t="s">
        <v>228</v>
      </c>
      <c r="E81" s="15" t="s">
        <v>249</v>
      </c>
      <c r="F81" s="10"/>
    </row>
    <row r="82" spans="1:6" ht="30">
      <c r="A82" s="25"/>
      <c r="B82" s="2" t="s">
        <v>138</v>
      </c>
      <c r="C82" s="3" t="s">
        <v>139</v>
      </c>
      <c r="D82" s="6" t="s">
        <v>242</v>
      </c>
      <c r="E82" s="15"/>
      <c r="F82" s="10"/>
    </row>
    <row r="83" spans="1:6" ht="45">
      <c r="A83" s="25"/>
      <c r="B83" s="2" t="s">
        <v>140</v>
      </c>
      <c r="C83" s="3" t="s">
        <v>141</v>
      </c>
      <c r="D83" s="6" t="s">
        <v>242</v>
      </c>
      <c r="E83" s="15"/>
      <c r="F83" s="10"/>
    </row>
    <row r="84" spans="1:6" ht="45">
      <c r="A84" s="25"/>
      <c r="B84" s="2" t="s">
        <v>142</v>
      </c>
      <c r="C84" s="3" t="s">
        <v>143</v>
      </c>
      <c r="D84" s="6" t="s">
        <v>242</v>
      </c>
      <c r="E84" s="15"/>
      <c r="F84" s="10"/>
    </row>
    <row r="85" spans="1:6" ht="75">
      <c r="A85" s="25"/>
      <c r="B85" s="2" t="s">
        <v>144</v>
      </c>
      <c r="C85" s="3" t="s">
        <v>145</v>
      </c>
      <c r="D85" s="6" t="s">
        <v>241</v>
      </c>
      <c r="E85" s="15" t="s">
        <v>259</v>
      </c>
      <c r="F85" s="10"/>
    </row>
    <row r="86" spans="1:6" ht="105">
      <c r="A86" s="25"/>
      <c r="B86" s="2" t="s">
        <v>146</v>
      </c>
      <c r="C86" s="3" t="s">
        <v>147</v>
      </c>
      <c r="D86" s="6" t="s">
        <v>240</v>
      </c>
      <c r="E86" s="15" t="s">
        <v>262</v>
      </c>
      <c r="F86" s="10"/>
    </row>
    <row r="87" spans="1:6" ht="60">
      <c r="A87" s="25"/>
      <c r="B87" s="2" t="s">
        <v>148</v>
      </c>
      <c r="C87" s="3" t="s">
        <v>149</v>
      </c>
      <c r="D87" s="6" t="s">
        <v>242</v>
      </c>
      <c r="E87" s="15" t="s">
        <v>267</v>
      </c>
      <c r="F87" s="10"/>
    </row>
    <row r="88" spans="1:6" ht="45">
      <c r="A88" s="26"/>
      <c r="B88" s="2" t="s">
        <v>150</v>
      </c>
      <c r="C88" s="3" t="s">
        <v>151</v>
      </c>
      <c r="D88" s="6" t="s">
        <v>242</v>
      </c>
      <c r="E88" s="15"/>
      <c r="F88" s="10"/>
    </row>
    <row r="89" spans="1:6" ht="17.399999999999999">
      <c r="A89" s="24" t="s">
        <v>152</v>
      </c>
      <c r="B89" s="2" t="s">
        <v>153</v>
      </c>
      <c r="C89" s="3" t="s">
        <v>154</v>
      </c>
      <c r="D89" s="6" t="s">
        <v>242</v>
      </c>
      <c r="E89" s="15"/>
      <c r="F89" s="10"/>
    </row>
    <row r="90" spans="1:6" ht="30">
      <c r="A90" s="25"/>
      <c r="B90" s="2" t="s">
        <v>155</v>
      </c>
      <c r="C90" s="3" t="s">
        <v>156</v>
      </c>
      <c r="D90" s="6" t="s">
        <v>242</v>
      </c>
      <c r="E90" s="15"/>
      <c r="F90" s="10"/>
    </row>
    <row r="91" spans="1:6" ht="45">
      <c r="A91" s="25"/>
      <c r="B91" s="2" t="s">
        <v>157</v>
      </c>
      <c r="C91" s="3" t="s">
        <v>158</v>
      </c>
      <c r="D91" s="6" t="s">
        <v>242</v>
      </c>
      <c r="E91" s="15"/>
      <c r="F91" s="10"/>
    </row>
    <row r="92" spans="1:6" ht="30">
      <c r="A92" s="25"/>
      <c r="B92" s="2" t="s">
        <v>159</v>
      </c>
      <c r="C92" s="3" t="s">
        <v>160</v>
      </c>
      <c r="D92" s="6" t="s">
        <v>242</v>
      </c>
      <c r="E92" s="15"/>
      <c r="F92" s="10"/>
    </row>
    <row r="93" spans="1:6" ht="30">
      <c r="A93" s="25"/>
      <c r="B93" s="2" t="s">
        <v>161</v>
      </c>
      <c r="C93" s="3" t="s">
        <v>162</v>
      </c>
      <c r="D93" s="6" t="s">
        <v>242</v>
      </c>
      <c r="E93" s="15"/>
      <c r="F93" s="10"/>
    </row>
    <row r="94" spans="1:6" ht="30">
      <c r="A94" s="25"/>
      <c r="B94" s="2" t="s">
        <v>163</v>
      </c>
      <c r="C94" s="3" t="s">
        <v>164</v>
      </c>
      <c r="D94" s="6" t="s">
        <v>242</v>
      </c>
      <c r="E94" s="15"/>
      <c r="F94" s="10"/>
    </row>
    <row r="95" spans="1:6" ht="30">
      <c r="A95" s="25"/>
      <c r="B95" s="2" t="s">
        <v>165</v>
      </c>
      <c r="C95" s="3" t="s">
        <v>166</v>
      </c>
      <c r="D95" s="6" t="s">
        <v>242</v>
      </c>
      <c r="E95" s="15"/>
      <c r="F95" s="10"/>
    </row>
    <row r="96" spans="1:6" ht="30">
      <c r="A96" s="25"/>
      <c r="B96" s="2" t="s">
        <v>167</v>
      </c>
      <c r="C96" s="3" t="s">
        <v>168</v>
      </c>
      <c r="D96" s="6" t="s">
        <v>242</v>
      </c>
      <c r="E96" s="15"/>
      <c r="F96" s="10"/>
    </row>
    <row r="97" spans="1:6" ht="30">
      <c r="A97" s="25"/>
      <c r="B97" s="2" t="s">
        <v>169</v>
      </c>
      <c r="C97" s="3" t="s">
        <v>170</v>
      </c>
      <c r="D97" s="6" t="s">
        <v>242</v>
      </c>
      <c r="E97" s="15"/>
      <c r="F97" s="10"/>
    </row>
    <row r="98" spans="1:6" ht="30">
      <c r="A98" s="25"/>
      <c r="B98" s="2" t="s">
        <v>171</v>
      </c>
      <c r="C98" s="3" t="s">
        <v>172</v>
      </c>
      <c r="D98" s="6" t="s">
        <v>242</v>
      </c>
      <c r="E98" s="15"/>
      <c r="F98" s="10"/>
    </row>
    <row r="99" spans="1:6" ht="45">
      <c r="A99" s="25"/>
      <c r="B99" s="2" t="s">
        <v>173</v>
      </c>
      <c r="C99" s="3" t="s">
        <v>174</v>
      </c>
      <c r="D99" s="6" t="s">
        <v>242</v>
      </c>
      <c r="E99" s="15"/>
      <c r="F99" s="10"/>
    </row>
    <row r="100" spans="1:6" ht="60">
      <c r="A100" s="25"/>
      <c r="B100" s="2" t="s">
        <v>175</v>
      </c>
      <c r="C100" s="3" t="s">
        <v>176</v>
      </c>
      <c r="D100" s="6" t="s">
        <v>242</v>
      </c>
      <c r="E100" s="15"/>
      <c r="F100" s="10"/>
    </row>
    <row r="101" spans="1:6" ht="30">
      <c r="A101" s="26"/>
      <c r="B101" s="2" t="s">
        <v>177</v>
      </c>
      <c r="C101" s="3" t="s">
        <v>178</v>
      </c>
      <c r="D101" s="6" t="s">
        <v>242</v>
      </c>
      <c r="E101" s="15"/>
      <c r="F101" s="10"/>
    </row>
    <row r="102" spans="1:6" ht="30">
      <c r="A102" s="24" t="s">
        <v>179</v>
      </c>
      <c r="B102" s="2" t="s">
        <v>180</v>
      </c>
      <c r="C102" s="3" t="s">
        <v>181</v>
      </c>
      <c r="D102" s="6" t="s">
        <v>242</v>
      </c>
      <c r="E102" s="15"/>
      <c r="F102" s="10"/>
    </row>
    <row r="103" spans="1:6" ht="30">
      <c r="A103" s="25"/>
      <c r="B103" s="2" t="s">
        <v>182</v>
      </c>
      <c r="C103" s="3" t="s">
        <v>183</v>
      </c>
      <c r="D103" s="6" t="s">
        <v>242</v>
      </c>
      <c r="E103" s="15"/>
      <c r="F103" s="10"/>
    </row>
    <row r="104" spans="1:6" ht="17.399999999999999">
      <c r="A104" s="25"/>
      <c r="B104" s="2" t="s">
        <v>184</v>
      </c>
      <c r="C104" s="3" t="s">
        <v>185</v>
      </c>
      <c r="D104" s="6" t="s">
        <v>242</v>
      </c>
      <c r="E104" s="15"/>
      <c r="F104" s="10"/>
    </row>
    <row r="105" spans="1:6" ht="30">
      <c r="A105" s="25"/>
      <c r="B105" s="2" t="s">
        <v>186</v>
      </c>
      <c r="C105" s="3" t="s">
        <v>187</v>
      </c>
      <c r="D105" s="6" t="s">
        <v>242</v>
      </c>
      <c r="E105" s="15"/>
      <c r="F105" s="10"/>
    </row>
    <row r="106" spans="1:6" ht="30">
      <c r="A106" s="25"/>
      <c r="B106" s="2" t="s">
        <v>188</v>
      </c>
      <c r="C106" s="3" t="s">
        <v>189</v>
      </c>
      <c r="D106" s="6" t="s">
        <v>242</v>
      </c>
      <c r="E106" s="15"/>
      <c r="F106" s="10"/>
    </row>
    <row r="107" spans="1:6" ht="60">
      <c r="A107" s="25"/>
      <c r="B107" s="2" t="s">
        <v>190</v>
      </c>
      <c r="C107" s="3" t="s">
        <v>191</v>
      </c>
      <c r="D107" s="6" t="s">
        <v>242</v>
      </c>
      <c r="E107" s="15"/>
      <c r="F107" s="10"/>
    </row>
    <row r="108" spans="1:6" ht="30">
      <c r="A108" s="25"/>
      <c r="B108" s="2" t="s">
        <v>192</v>
      </c>
      <c r="C108" s="3" t="s">
        <v>193</v>
      </c>
      <c r="D108" s="6" t="s">
        <v>242</v>
      </c>
      <c r="E108" s="15"/>
      <c r="F108" s="10"/>
    </row>
    <row r="109" spans="1:6" ht="17.399999999999999">
      <c r="A109" s="25"/>
      <c r="B109" s="2" t="s">
        <v>194</v>
      </c>
      <c r="C109" s="3" t="s">
        <v>195</v>
      </c>
      <c r="D109" s="6" t="s">
        <v>228</v>
      </c>
      <c r="E109" s="15" t="s">
        <v>254</v>
      </c>
      <c r="F109" s="10"/>
    </row>
    <row r="110" spans="1:6" ht="30">
      <c r="A110" s="25"/>
      <c r="B110" s="2" t="s">
        <v>196</v>
      </c>
      <c r="C110" s="3" t="s">
        <v>197</v>
      </c>
      <c r="D110" s="6" t="s">
        <v>228</v>
      </c>
      <c r="E110" s="15" t="s">
        <v>254</v>
      </c>
      <c r="F110" s="10"/>
    </row>
    <row r="111" spans="1:6" ht="45">
      <c r="A111" s="25"/>
      <c r="B111" s="2" t="s">
        <v>198</v>
      </c>
      <c r="C111" s="3" t="s">
        <v>199</v>
      </c>
      <c r="D111" s="6" t="s">
        <v>242</v>
      </c>
      <c r="E111" s="15"/>
      <c r="F111" s="10"/>
    </row>
    <row r="112" spans="1:6" ht="45">
      <c r="A112" s="26"/>
      <c r="B112" s="2" t="s">
        <v>200</v>
      </c>
      <c r="C112" s="3" t="s">
        <v>201</v>
      </c>
      <c r="D112" s="6" t="s">
        <v>240</v>
      </c>
      <c r="E112" s="15" t="s">
        <v>263</v>
      </c>
      <c r="F112" s="10"/>
    </row>
    <row r="113" spans="1:6" ht="30">
      <c r="A113" s="24" t="s">
        <v>202</v>
      </c>
      <c r="B113" s="2" t="s">
        <v>203</v>
      </c>
      <c r="C113" s="3" t="s">
        <v>204</v>
      </c>
      <c r="D113" s="6" t="s">
        <v>242</v>
      </c>
      <c r="E113" s="15"/>
      <c r="F113" s="10"/>
    </row>
    <row r="114" spans="1:6" ht="45">
      <c r="A114" s="25"/>
      <c r="B114" s="2" t="s">
        <v>205</v>
      </c>
      <c r="C114" s="3" t="s">
        <v>206</v>
      </c>
      <c r="D114" s="6" t="s">
        <v>242</v>
      </c>
      <c r="E114" s="15"/>
      <c r="F114" s="10"/>
    </row>
    <row r="115" spans="1:6" ht="45">
      <c r="A115" s="25"/>
      <c r="B115" s="2" t="s">
        <v>207</v>
      </c>
      <c r="C115" s="3" t="s">
        <v>208</v>
      </c>
      <c r="D115" s="6" t="s">
        <v>242</v>
      </c>
      <c r="E115" s="15"/>
      <c r="F115" s="10"/>
    </row>
    <row r="116" spans="1:6" ht="30">
      <c r="A116" s="25"/>
      <c r="B116" s="2" t="s">
        <v>209</v>
      </c>
      <c r="C116" s="3" t="s">
        <v>210</v>
      </c>
      <c r="D116" s="6" t="s">
        <v>242</v>
      </c>
      <c r="E116" s="15"/>
      <c r="F116" s="10"/>
    </row>
    <row r="117" spans="1:6" ht="30">
      <c r="A117" s="25"/>
      <c r="B117" s="2" t="s">
        <v>211</v>
      </c>
      <c r="C117" s="3" t="s">
        <v>212</v>
      </c>
      <c r="D117" s="6" t="s">
        <v>242</v>
      </c>
      <c r="E117" s="15"/>
      <c r="F117" s="10"/>
    </row>
    <row r="118" spans="1:6" ht="45">
      <c r="A118" s="25"/>
      <c r="B118" s="2" t="s">
        <v>213</v>
      </c>
      <c r="C118" s="3" t="s">
        <v>214</v>
      </c>
      <c r="D118" s="6" t="s">
        <v>242</v>
      </c>
      <c r="E118" s="15"/>
      <c r="F118" s="10"/>
    </row>
    <row r="119" spans="1:6" ht="30">
      <c r="A119" s="25"/>
      <c r="B119" s="2" t="s">
        <v>215</v>
      </c>
      <c r="C119" s="3" t="s">
        <v>216</v>
      </c>
      <c r="D119" s="6" t="s">
        <v>242</v>
      </c>
      <c r="E119" s="15"/>
      <c r="F119" s="10"/>
    </row>
    <row r="120" spans="1:6" ht="30">
      <c r="A120" s="25"/>
      <c r="B120" s="2" t="s">
        <v>217</v>
      </c>
      <c r="C120" s="3" t="s">
        <v>218</v>
      </c>
      <c r="D120" s="6" t="s">
        <v>242</v>
      </c>
      <c r="E120" s="15"/>
      <c r="F120" s="10"/>
    </row>
    <row r="121" spans="1:6" ht="30">
      <c r="A121" s="25"/>
      <c r="B121" s="2" t="s">
        <v>219</v>
      </c>
      <c r="C121" s="3" t="s">
        <v>220</v>
      </c>
      <c r="D121" s="6" t="s">
        <v>242</v>
      </c>
      <c r="E121" s="15"/>
      <c r="F121" s="10"/>
    </row>
    <row r="122" spans="1:6" ht="45">
      <c r="A122" s="25"/>
      <c r="B122" s="2" t="s">
        <v>221</v>
      </c>
      <c r="C122" s="3" t="s">
        <v>222</v>
      </c>
      <c r="D122" s="6" t="s">
        <v>242</v>
      </c>
      <c r="E122" s="15"/>
      <c r="F122" s="10"/>
    </row>
    <row r="123" spans="1:6" ht="45">
      <c r="A123" s="25"/>
      <c r="B123" s="2" t="s">
        <v>223</v>
      </c>
      <c r="C123" s="3" t="s">
        <v>224</v>
      </c>
      <c r="D123" s="6" t="s">
        <v>242</v>
      </c>
      <c r="E123" s="15"/>
      <c r="F123" s="10"/>
    </row>
    <row r="124" spans="1:6" ht="45">
      <c r="A124" s="26"/>
      <c r="B124" s="2" t="s">
        <v>225</v>
      </c>
      <c r="C124" s="3" t="s">
        <v>226</v>
      </c>
      <c r="D124" s="6" t="s">
        <v>242</v>
      </c>
      <c r="E124" s="15"/>
      <c r="F124" s="10"/>
    </row>
    <row r="127" spans="1:6">
      <c r="A127" s="36" t="s">
        <v>245</v>
      </c>
      <c r="B127" s="36"/>
      <c r="C127" s="36"/>
      <c r="D127" s="36"/>
      <c r="E127" s="14" t="s">
        <v>246</v>
      </c>
    </row>
    <row r="128" spans="1:6" ht="60">
      <c r="A128" s="37" t="s">
        <v>271</v>
      </c>
      <c r="B128" s="37"/>
      <c r="C128" s="37"/>
      <c r="D128" s="37"/>
      <c r="E128" s="16" t="s">
        <v>253</v>
      </c>
    </row>
    <row r="129" spans="1:5" ht="34.049999999999997" customHeight="1">
      <c r="A129" s="33" t="s">
        <v>269</v>
      </c>
      <c r="B129" s="34"/>
      <c r="C129" s="34"/>
      <c r="D129" s="35"/>
      <c r="E129" s="21" t="s">
        <v>248</v>
      </c>
    </row>
    <row r="130" spans="1:5" ht="30">
      <c r="A130" s="37" t="s">
        <v>247</v>
      </c>
      <c r="B130" s="37"/>
      <c r="C130" s="37"/>
      <c r="D130" s="37"/>
      <c r="E130" s="22" t="s">
        <v>270</v>
      </c>
    </row>
    <row r="131" spans="1:5" ht="30" customHeight="1">
      <c r="A131" s="19"/>
      <c r="B131" s="19"/>
      <c r="C131" s="19"/>
      <c r="D131" s="19"/>
      <c r="E131" s="20"/>
    </row>
  </sheetData>
  <mergeCells count="30">
    <mergeCell ref="A130:D130"/>
    <mergeCell ref="A128:D128"/>
    <mergeCell ref="A7:C7"/>
    <mergeCell ref="A12:C12"/>
    <mergeCell ref="A129:D129"/>
    <mergeCell ref="A113:A124"/>
    <mergeCell ref="A127:D127"/>
    <mergeCell ref="A28:A29"/>
    <mergeCell ref="A9:C9"/>
    <mergeCell ref="A10:C10"/>
    <mergeCell ref="A11:C11"/>
    <mergeCell ref="A13:C13"/>
    <mergeCell ref="A14:C14"/>
    <mergeCell ref="A19:A27"/>
    <mergeCell ref="A71:A74"/>
    <mergeCell ref="A75:A88"/>
    <mergeCell ref="A89:A101"/>
    <mergeCell ref="A102:A112"/>
    <mergeCell ref="A30:A32"/>
    <mergeCell ref="A33:A45"/>
    <mergeCell ref="A46:A53"/>
    <mergeCell ref="A54:A55"/>
    <mergeCell ref="A56:A60"/>
    <mergeCell ref="A61:A70"/>
    <mergeCell ref="A1:C1"/>
    <mergeCell ref="A3:C3"/>
    <mergeCell ref="A5:C5"/>
    <mergeCell ref="A6:C6"/>
    <mergeCell ref="A8:C8"/>
    <mergeCell ref="A4:C4"/>
  </mergeCells>
  <conditionalFormatting sqref="B19:F124">
    <cfRule type="expression" dxfId="3" priority="1">
      <formula>$D19="Non testé"</formula>
    </cfRule>
    <cfRule type="expression" dxfId="2" priority="2">
      <formula>$D19="Dérogé"</formula>
    </cfRule>
    <cfRule type="expression" dxfId="1" priority="3">
      <formula>$D19="Conforme"</formula>
    </cfRule>
    <cfRule type="expression" dxfId="0" priority="4">
      <formula>$D19="Non conforme"</formula>
    </cfRule>
  </conditionalFormatting>
  <dataValidations count="2">
    <dataValidation allowBlank="1" showInputMessage="1" showErrorMessage="1" prompt="Format JJ/MM/AAAA" sqref="D3"/>
    <dataValidation type="list" allowBlank="1" showInputMessage="1" showErrorMessage="1" sqref="D19:D124">
      <formula1>"Conforme,Non conforme,Non applicable,Dérogé,Non testé"</formula1>
    </dataValidation>
  </dataValidations>
  <hyperlinks>
    <hyperlink ref="E130" r:id="rId1" display="https://www.accede-web.com/notices/interface-riche/message-dalerte/"/>
    <hyperlink ref="E129" r:id="rId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NotificationBar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ROSSI ROJAS VERUSHKA (CNAM / Lyon)</cp:lastModifiedBy>
  <dcterms:created xsi:type="dcterms:W3CDTF">2025-03-05T16:22:31Z</dcterms:created>
  <dcterms:modified xsi:type="dcterms:W3CDTF">2025-03-18T11:08:20Z</dcterms:modified>
</cp:coreProperties>
</file>
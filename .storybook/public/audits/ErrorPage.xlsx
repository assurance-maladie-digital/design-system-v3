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rrorPage" sheetId="1" r:id="rId4"/>
  </sheets>
  <definedNames/>
  <calcPr/>
</workbook>
</file>

<file path=xl/sharedStrings.xml><?xml version="1.0" encoding="utf-8"?>
<sst xmlns="http://schemas.openxmlformats.org/spreadsheetml/2006/main" count="368" uniqueCount="264">
  <si>
    <t>Composant : ErrorPage</t>
  </si>
  <si>
    <t>Audit</t>
  </si>
  <si>
    <t>Audit V1</t>
  </si>
  <si>
    <r>
      <rPr>
        <rFont val="Arial"/>
        <b/>
        <sz val="14.0"/>
      </rPr>
      <t xml:space="preserve">Correction post audit V1 - (voir - </t>
    </r>
    <r>
      <rPr>
        <rFont val="Arial"/>
        <b/>
        <color rgb="FF1155CC"/>
        <sz val="14.0"/>
        <u/>
      </rPr>
      <t>https://github.com/assurance-maladie-digital/design-system-v3/issues/652)</t>
    </r>
  </si>
  <si>
    <t>Date</t>
  </si>
  <si>
    <t>Version</t>
  </si>
  <si>
    <t>1.0.0</t>
  </si>
  <si>
    <t>v1.0.3</t>
  </si>
  <si>
    <t>Nombre de critères conformes</t>
  </si>
  <si>
    <t>Nombre de critères non conformes</t>
  </si>
  <si>
    <t>Nombre de critères non applicable</t>
  </si>
  <si>
    <t>Nombre de critères dérogés</t>
  </si>
  <si>
    <t>Nombre de critères non testés</t>
  </si>
  <si>
    <t>Pourcentage de conformité</t>
  </si>
  <si>
    <t>Pourcentage de non-conformité</t>
  </si>
  <si>
    <t>Thématique</t>
  </si>
  <si>
    <t>N° critère</t>
  </si>
  <si>
    <t>Recommandation</t>
  </si>
  <si>
    <t>Conformité</t>
  </si>
  <si>
    <t>Description de l'erreur / Remarques / Questions</t>
  </si>
  <si>
    <t>Correction</t>
  </si>
  <si>
    <t>IMAGES</t>
  </si>
  <si>
    <t>1.1</t>
  </si>
  <si>
    <t>Chaque image porteuse d’information a-t-elle une alternative textuelle ?</t>
  </si>
  <si>
    <t>Non applicable</t>
  </si>
  <si>
    <t>1.2</t>
  </si>
  <si>
    <t>Chaque image de décoration est-elle correctement ignorée par les technologies d’assistance ?</t>
  </si>
  <si>
    <t>1.3</t>
  </si>
  <si>
    <t>Pour chaque image porteuse d'information ayant une alternative textuelle, cette alternative est-elle pertinente (hors cas particuliers) ?</t>
  </si>
  <si>
    <t>1.4</t>
  </si>
  <si>
    <t>Pour chaque image utilisée comme CAPTCHA ou comme image-test, ayant une alternative textuelle, cette alternative permet-elle d’identifier la nature et la fonction de l’image ?</t>
  </si>
  <si>
    <t>1.5</t>
  </si>
  <si>
    <t>Pour chaque image utilisée comme CAPTCHA, une solution d’accès alternatif au contenu ou à la fonction du CAPTCHA est-elle présente ?</t>
  </si>
  <si>
    <t>1.6</t>
  </si>
  <si>
    <t>Chaque image porteuse d’information a-t-elle, si nécessaire, une description détaillée ?</t>
  </si>
  <si>
    <t>1.7</t>
  </si>
  <si>
    <t>Pour chaque image porteuse d’information ayant une description détaillée, cette description est-elle pertinente ?</t>
  </si>
  <si>
    <t>1.8</t>
  </si>
  <si>
    <t>Chaque image texte porteuse d’information, en l’absence d’un mécanisme de remplacement, doit si possible être remplacée par du texte stylé. Cette règle est-elle respectée (hors cas particuliers) ?</t>
  </si>
  <si>
    <t>1.9</t>
  </si>
  <si>
    <t>Chaque légende d’image est-elle, si nécessaire, correctement reliée à l’image correspondante ?</t>
  </si>
  <si>
    <t>CADRES</t>
  </si>
  <si>
    <t>2.1</t>
  </si>
  <si>
    <t>Chaque cadre a-t-il un titre de cadre ?</t>
  </si>
  <si>
    <t>2.2</t>
  </si>
  <si>
    <t>Pour chaque cadre ayant un titre de cadre, ce titre de cadre est-il pertinent ?</t>
  </si>
  <si>
    <t>COULEURS</t>
  </si>
  <si>
    <t>3.1</t>
  </si>
  <si>
    <t>Dans chaque page web, l’information ne doit pas être donnée uniquement par la couleur. Cette règle est-elle respectée ?</t>
  </si>
  <si>
    <t>3.2</t>
  </si>
  <si>
    <t>Dans chaque page web, le contraste entre la couleur du texte et la couleur de son arrière-plan est-il suffisamment élevé (hors cas particuliers) ?</t>
  </si>
  <si>
    <t>Conforme</t>
  </si>
  <si>
    <t>Le composant peut être parametré avec un bouton. L'audit du bouton n'est pas compris dans celui ci =&gt; voir l'audit lié au composant du bouton.
Default : 
- Code d'erreur =&gt; texte bleu, fond blanc =&gt; ratio contraste 9,38 (conforme)
- Titre =&gt; texte noir (24px gras), fond blanc =&gt;  ratio contraste 16,07 (conforme)
- Description =&gt; texte noir (16px), fond blanc =&gt;  ratio contraste 16,07 (conforme)</t>
  </si>
  <si>
    <t>3.3</t>
  </si>
  <si>
    <t>Dans chaque page web, les couleurs utilisées dans les composants d’interface ou les éléments graphiques porteurs d’informations sont-elles suffisamment contrastées (hors cas particuliers) ?</t>
  </si>
  <si>
    <t>MULTIMÉDIA</t>
  </si>
  <si>
    <t>4.1</t>
  </si>
  <si>
    <t>Chaque média temporel pré-enregistré a-t-il, si nécessaire, une transcription textuelle ou une audiodescription (hors cas particuliers) ?</t>
  </si>
  <si>
    <t>4.2</t>
  </si>
  <si>
    <t>Pour chaque média temporel pré-enregistré ayant une transcription textuelle ou une audiodescription synchronisée, celles-ci sont-elles pertinentes (hors cas particuliers) ?</t>
  </si>
  <si>
    <t>4.3</t>
  </si>
  <si>
    <t>Chaque média temporel synchronisé pré-enregistré a-t-il, si nécessaire, des sous-titres synchronisés (hors cas particuliers) ?</t>
  </si>
  <si>
    <t>4.4</t>
  </si>
  <si>
    <t>Pour chaque média temporel synchronisé pré-enregistré ayant des sous-titres synchronisés, ces sous-titres sont-ils pertinents ?</t>
  </si>
  <si>
    <t>4.5</t>
  </si>
  <si>
    <t>Chaque média temporel pré-enregistré a-t-il, si nécessaire, une audiodescription synchronisée (hors cas particuliers) ?</t>
  </si>
  <si>
    <t>4.6</t>
  </si>
  <si>
    <t>Pour chaque média temporel pré-enregistré ayant une audiodescription synchronisée, celle-ci est-elle pertinente ?</t>
  </si>
  <si>
    <t>4.7</t>
  </si>
  <si>
    <t>Chaque média temporel est-il clairement identifiable (hors cas particuliers) ?</t>
  </si>
  <si>
    <t>4.8</t>
  </si>
  <si>
    <t>Chaque média non temporel a-t-il, si nécessaire, une alternative (hors cas particuliers) ?</t>
  </si>
  <si>
    <t>4.9</t>
  </si>
  <si>
    <t>Pour chaque média non temporel ayant une alternative, cette alternative est-elle pertinente ?</t>
  </si>
  <si>
    <t>4.10</t>
  </si>
  <si>
    <t>Chaque son déclenché automatiquement est-il contrôlable par l’utilisateur ?</t>
  </si>
  <si>
    <t>4.11</t>
  </si>
  <si>
    <t>La consultation de chaque média temporel est-elle, si nécessaire, contrôlable par le clavier et tout dispositif de pointage ?</t>
  </si>
  <si>
    <t>4.12</t>
  </si>
  <si>
    <t>La consultation de chaque média non temporel est-elle contrôlable par le clavier et tout dispositif de pointage ?</t>
  </si>
  <si>
    <t>4.13</t>
  </si>
  <si>
    <t>Chaque média temporel et non temporel est-il compatible avec les technologies d’assistance (hors cas particuliers) ?</t>
  </si>
  <si>
    <t>TABLEAUX</t>
  </si>
  <si>
    <t>5.1</t>
  </si>
  <si>
    <t>Chaque tableau de données complexe a-t-il un résumé ?</t>
  </si>
  <si>
    <t>5.2</t>
  </si>
  <si>
    <t>Pour chaque tableau de données complexe ayant un résumé, celui-ci est-il pertinent ?</t>
  </si>
  <si>
    <t>5.3</t>
  </si>
  <si>
    <t>Pour chaque tableau de mise en forme, le contenu linéarisé reste-t-il compréhensible ?</t>
  </si>
  <si>
    <t>5.4</t>
  </si>
  <si>
    <t>Pour chaque tableau de données ayant un titre, le titre est-il correctement associé au tableau de données ?</t>
  </si>
  <si>
    <t>5.5</t>
  </si>
  <si>
    <t>Pour chaque tableau de données ayant un titre, celui-ci est-il pertinent ?</t>
  </si>
  <si>
    <t>5.6</t>
  </si>
  <si>
    <t>Pour chaque tableau de données, chaque en-tête de colonnes et chaque en-tête de lignes sont-ils correctement déclarés ?</t>
  </si>
  <si>
    <t>5.7</t>
  </si>
  <si>
    <t>Pour chaque tableau de données, la technique appropriée permettant d’associer chaque cellule avec ses en-têtes est-elle utilisée (hors cas particuliers) ?</t>
  </si>
  <si>
    <t>5.8</t>
  </si>
  <si>
    <t>Chaque tableau de mise en forme ne doit pas utiliser d’éléments propres aux tableaux de données. Cette règle est-elle respectée ?</t>
  </si>
  <si>
    <t>LIENS</t>
  </si>
  <si>
    <t>6.1</t>
  </si>
  <si>
    <t>Chaque lien est-il explicite (hors cas particuliers) ?</t>
  </si>
  <si>
    <t>Lorsque le composant possède le bouton de retour vers la page d'accueil, il ne doit pas posséder l'attribut 'aria-current="page"'. Cela signifierait que le lien en question correspond à la page courante.</t>
  </si>
  <si>
    <t>6.2</t>
  </si>
  <si>
    <t>Dans chaque page web, chaque lien a-t-il un intitulé ?</t>
  </si>
  <si>
    <t>Le lien possède bien un intitulé. Si le contributeur indique 'btn-text=""', le lien n'apparaît pas.</t>
  </si>
  <si>
    <t>SCRIPTS</t>
  </si>
  <si>
    <t>7.1</t>
  </si>
  <si>
    <t>Chaque script est-il, si nécessaire, compatible avec les technologies d’assistance ?</t>
  </si>
  <si>
    <t>Positif :
- Lisibilité du composant par le lecteur d'écran
- Redirection du lien de retour fonctionnel
Négatif :
- Il manque un lien tel sur le numéro de téléphone : &lt;a href="tel:3646"&gt;3646&lt;/a&gt;</t>
  </si>
  <si>
    <t>7.2</t>
  </si>
  <si>
    <t>Pour chaque script ayant une alternative, cette alternative est-elle pertinente ?</t>
  </si>
  <si>
    <t>7.3</t>
  </si>
  <si>
    <t>Chaque script est-il contrôlable par le clavier et par tout dispositif de pointage (hors cas particuliers) ?</t>
  </si>
  <si>
    <t>Test touche Tab + touche enter pour ouvrir le lien</t>
  </si>
  <si>
    <t>7.4</t>
  </si>
  <si>
    <t>Pour chaque script qui initie un changement de contexte, l’utilisateur est-il averti ou en a-t-il le contrôle ?</t>
  </si>
  <si>
    <t>7.5</t>
  </si>
  <si>
    <t>Dans chaque page web, les messages de statut sont-ils correctement restitués par les technologies d’assistance ?</t>
  </si>
  <si>
    <t>ÉLÉMENTS OBLIGATOIRES</t>
  </si>
  <si>
    <t>8.1</t>
  </si>
  <si>
    <t>Chaque page web est-elle définie par un type de document ?</t>
  </si>
  <si>
    <t>8.2</t>
  </si>
  <si>
    <t>Pour chaque page web, le code source généré est-il valide selon le type de document spécifié (hors cas particuliers) ?</t>
  </si>
  <si>
    <t>Code source testé et validé sur https://validator.w3.org/nu/#textarea</t>
  </si>
  <si>
    <t>8.3</t>
  </si>
  <si>
    <t>Dans chaque page web, la langue par défaut est-elle présente ?</t>
  </si>
  <si>
    <t>8.4</t>
  </si>
  <si>
    <t>Pour chaque page web ayant une langue par défaut, le code de langue est-il pertinent ?</t>
  </si>
  <si>
    <t>8.5</t>
  </si>
  <si>
    <t>Chaque page web a-t-elle un titre de page ?</t>
  </si>
  <si>
    <t>8.6</t>
  </si>
  <si>
    <t>Pour chaque page web ayant un titre de page, ce titre est-il pertinent ?</t>
  </si>
  <si>
    <t>8.7</t>
  </si>
  <si>
    <t>Dans chaque page web, chaque changement de langue est-il indiqué dans le code source (hors cas particuliers) ?</t>
  </si>
  <si>
    <t>8.8</t>
  </si>
  <si>
    <t>Dans chaque page web, le code de langue de chaque changement de langue est-il valide et pertinent ?</t>
  </si>
  <si>
    <t>8.9</t>
  </si>
  <si>
    <t>Dans chaque page web, les balises ne doivent pas être utilisées uniquement à des fins de présentation. Cette règle est-elle respectée ?</t>
  </si>
  <si>
    <t>8.10</t>
  </si>
  <si>
    <t>Dans chaque page web, les changements du sens de lecture sont-ils signalés ?</t>
  </si>
  <si>
    <t>STRUCTURATION</t>
  </si>
  <si>
    <t>9.1</t>
  </si>
  <si>
    <t>Dans chaque page web, l’information est-elle structurée par l’utilisation appropriée de titres ?</t>
  </si>
  <si>
    <t>Le lecteur d'écran restitue "Code d'erreur : 500" à la place du 500 ce qui est un point positif. En revanche, semantiquement, ce message est situé avant le titre. Deux manières de corriger :
- Revoir l'ordre sémantique entre le code d'erreur et le titre et inverser en CSS l'ordre pour revenir à l'affichage initial
- Passer le paragraphe "500" visible en aria-hidden pour qu'il soit ignoré par le lecteur d'écran, lui donner un id et passer cet id en tant que aria-describedby au niveau du titre :
    &lt;p id="error-code" aria-hidden="true"&gt;&lt;span class="sr-only"&gt;Code d'erreur &lt;/span&gt;500&lt;/p&gt;
    &lt;h1 aria-describedby="error-code"&gt;Une erreur est survenue&lt;/h1&gt;.
Recommandation : Le titre est actuellement dans un h2. Cela ne représente pas une non-conformité mais une bonne pratique est d'avoir un titre h1 par page. Ici, le bloc étant  à priori utilisé seul, il est préférable que le titre soit dans un h1 (Opquast : https://checklists.opquast.com/fr/assurance-qualite-web/le-contenu-de-chaque-page-est-organise-selon-une-structure-de-titres-et-sous-titres-hierarchisee). Remarque : Une autre raison est le SEO mais dans le cas de page d'erreur, ces pages ne sont pas censées être référencées.</t>
  </si>
  <si>
    <t>9.2</t>
  </si>
  <si>
    <t>Dans chaque page web, la structure du document est-elle cohérente (hors cas particuliers) ?</t>
  </si>
  <si>
    <t>9.3</t>
  </si>
  <si>
    <t>Dans chaque page web, chaque liste est-elle correctement structurée ?</t>
  </si>
  <si>
    <t>9.4</t>
  </si>
  <si>
    <t>Dans chaque page web, chaque citation est-elle correctement indiquée ?</t>
  </si>
  <si>
    <t>PRÉSENTATION</t>
  </si>
  <si>
    <t>10.1</t>
  </si>
  <si>
    <t>Dans le site web, des feuilles de styles sont-elles utilisées pour contrôler la présentation de l’information ?</t>
  </si>
  <si>
    <t>Aucune balise ou attribut servant à la présentation de l'information n'est présent sur le composant, les styles sont bien réalisés par CSS. 
Une attention particulière est notée pour les espaces (sur un mot, un tableau ou pour simuler de la présentation) qui est de la responsabilité du contributeur</t>
  </si>
  <si>
    <t>10.2</t>
  </si>
  <si>
    <t>Dans chaque page web, le contenu visible porteur d’information reste-t-il présent lorsque les feuilles de styles sont désactivées ?</t>
  </si>
  <si>
    <t>Le composant est visible lorsque les feuilles de syles sont désactivées.</t>
  </si>
  <si>
    <t>10.3</t>
  </si>
  <si>
    <t>Dans chaque page web, l’information reste-t-elle compréhensible lorsque les feuilles de styles sont désactivées ?</t>
  </si>
  <si>
    <t>L'information reste compréhensible car chaque élément utilise un élément HTML approprié et l'ordre ne nuit pas à la compréhension du composant.</t>
  </si>
  <si>
    <t>10.4</t>
  </si>
  <si>
    <t>Dans chaque page web, le texte reste-t-il lisible lorsque la taille des caractères est augmentée jusqu’à 200%, au moins (hors cas particuliers) ?</t>
  </si>
  <si>
    <t xml:space="preserve">Aucun problème de lisibilité, que ce soit en zoom écran ou zoom texte à 200%. </t>
  </si>
  <si>
    <t>10.5</t>
  </si>
  <si>
    <t>Dans chaque page web, les déclarations CSS de couleurs de fond d’élément et de police sont-elles correctement utilisées ?</t>
  </si>
  <si>
    <t>Présence d'un background-color et d'un color sur tous les composants : le composant principal possède un background: white; sur .v-card--variant-elevated</t>
  </si>
  <si>
    <t>10.6</t>
  </si>
  <si>
    <t>Dans chaque page web, chaque lien dont la nature n’est pas évidente est-il visible par rapport au texte environnant ?</t>
  </si>
  <si>
    <t>10.7</t>
  </si>
  <si>
    <t>Dans chaque page web, pour chaque élément recevant le focus, la prise de focus est-elle visible ?</t>
  </si>
  <si>
    <t>10.8</t>
  </si>
  <si>
    <t>Pour chaque page web, les contenus cachés ont-ils vocation à être ignorés par les technologies d’assistance ?</t>
  </si>
  <si>
    <t>10.9</t>
  </si>
  <si>
    <t>Dans chaque page web, l’information ne doit pas être donnée uniquement par la forme, taille ou position. Cette règle est-elle respectée ?</t>
  </si>
  <si>
    <t>10.10</t>
  </si>
  <si>
    <t>Dans chaque page web, l’information ne doit pas être donnée par la forme, taille ou position uniquement. Cette règle est-elle implémentée de façon pertinente ?</t>
  </si>
  <si>
    <t>10.11</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</si>
  <si>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</si>
  <si>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Aucun troncage de texte. Le composant n'oblige pas à avoir recours au défilement afin de permettre la visualisuation complète du contenu.</t>
  </si>
  <si>
    <t>10.12</t>
  </si>
  <si>
    <t>Dans chaque page web, les propriétés d’espacement du texte peuvent-elles être redéfinies par l’utilisateur sans perte de contenu ou de fonctionnalité (hors cas particuliers) ?</t>
  </si>
  <si>
    <t>Testé avec Assistant RGAA :
body {
line-height: 1.5 !important;
letter-spacing: 0.12em !important;
 word-spacing: 0.16em !important;
}
p { margin-bottom: 2em !important; }</t>
  </si>
  <si>
    <t>10.13</t>
  </si>
  <si>
    <t>Dans chaque page web, les contenus additionnels apparaissant à la prise de focus ou au survol d’un composant d’interface sont-ils contrôlables par l’utilisateur (hors cas particuliers) ?</t>
  </si>
  <si>
    <t>10.14</t>
  </si>
  <si>
    <t>Dans chaque page web, les contenus additionnels apparaissant via les styles CSS uniquement peuvent-ils être rendus visibles au clavier et par tout dispositif de pointage ?</t>
  </si>
  <si>
    <t>FORMULAIRES</t>
  </si>
  <si>
    <t>11.1</t>
  </si>
  <si>
    <t>Chaque champ de formulaire a-t-il une étiquette ?</t>
  </si>
  <si>
    <t>11.2</t>
  </si>
  <si>
    <t>Chaque étiquette associée à un champ de formulaire est-elle pertinente (hors cas particuliers) ?</t>
  </si>
  <si>
    <t>11.3</t>
  </si>
  <si>
    <t>Dans chaque formulaire, chaque étiquette associée à un champ de formulaire ayant la même fonction et répété plusieurs fois dans une même page ou dans un ensemble de pages est-elle cohérente ?</t>
  </si>
  <si>
    <t>11.4</t>
  </si>
  <si>
    <t>Dans chaque formulaire, chaque étiquette de champ et son champ associé sont-ils accolés (hors cas particuliers) ?</t>
  </si>
  <si>
    <t>11.5</t>
  </si>
  <si>
    <t>Dans chaque formulaire, les champs de même nature sont-ils regroupés, si nécessaire ?</t>
  </si>
  <si>
    <t>11.6</t>
  </si>
  <si>
    <t>Dans chaque formulaire, chaque regroupement de champs de même nature a-t-il une légende ?</t>
  </si>
  <si>
    <t>11.7</t>
  </si>
  <si>
    <t>Dans chaque formulaire, chaque légende associée à un regroupement de champs de même nature est-elle pertinente ?</t>
  </si>
  <si>
    <t>11.8</t>
  </si>
  <si>
    <t>Dans chaque formulaire, les items de même nature d’une liste de choix sont-ils regroupées de manière pertinente ?</t>
  </si>
  <si>
    <t>11.9</t>
  </si>
  <si>
    <t>Dans chaque formulaire, l’intitulé de chaque bouton est-il pertinent (hors cas particuliers) ?</t>
  </si>
  <si>
    <t>11.10</t>
  </si>
  <si>
    <t>Dans chaque formulaire, le contrôle de saisie est-il utilisé de manière pertinente (hors cas particuliers) ?</t>
  </si>
  <si>
    <t>11.11</t>
  </si>
  <si>
    <t>Dans chaque formulaire, le contrôle de saisie est-il accompagné, si nécessaire, de suggestions facilitant la correction des erreurs de saisie ?</t>
  </si>
  <si>
    <t>11.12</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</si>
  <si>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</si>
  <si>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11.13</t>
  </si>
  <si>
    <t>La finalité d’un champ de saisie peut-elle être déduite pour faciliter le remplissage automatique des champs avec les données de l’utilisateur ?</t>
  </si>
  <si>
    <t>NAVIGATION</t>
  </si>
  <si>
    <t>12.1</t>
  </si>
  <si>
    <t>Chaque ensemble de pages dispose-t-il de deux systèmes de navigation différents, au moins (hors cas particuliers) ?</t>
  </si>
  <si>
    <t>12.2</t>
  </si>
  <si>
    <t>Dans chaque ensemble de pages, le menu et les barres de navigation sont-ils toujours à la même place (hors cas particuliers) ?</t>
  </si>
  <si>
    <t>12.3</t>
  </si>
  <si>
    <t>La page « plan du site » est-elle pertinente ?</t>
  </si>
  <si>
    <t>12.4</t>
  </si>
  <si>
    <t>Dans chaque ensemble de pages, la page « plan du site » est-elle atteignable de manière identique ?</t>
  </si>
  <si>
    <t>12.5</t>
  </si>
  <si>
    <t>Dans chaque ensemble de pages, le moteur de recherche est-il atteignable de manière identique ?</t>
  </si>
  <si>
    <t>12.6</t>
  </si>
  <si>
    <t>Les zones de regroupement de contenus présentes dans plusieurs pages web (zones d’en-tête, de navigation principale, de contenu principal, de pied de page et de moteur de recherche) peuvent-elles être atteintes ou évitées ?</t>
  </si>
  <si>
    <t>12.7</t>
  </si>
  <si>
    <t>Dans chaque page web, un lien d’évitement ou d’accès rapide à la zone de contenu principal est-il présent (hors cas particuliers) ?</t>
  </si>
  <si>
    <t>12.8</t>
  </si>
  <si>
    <t>Dans chaque page web, l’ordre de tabulation est-il cohérent ?</t>
  </si>
  <si>
    <t>12.9</t>
  </si>
  <si>
    <t>Dans chaque page web, la navigation ne doit pas contenir de piège au clavier. Cette règle est-elle respectée ?</t>
  </si>
  <si>
    <t>12.10</t>
  </si>
  <si>
    <t>Dans chaque page web, les raccourcis clavier n’utilisant qu’une seule touche (lettre minuscule ou majuscule, ponctuation, chiffre ou symbole) sont-ils contrôlables par l’utilisateur ?</t>
  </si>
  <si>
    <t>12.11</t>
  </si>
  <si>
    <t>Dans chaque page web, les contenus additionnels apparaissant au survol, à la prise de focus ou à l’activation d’un composant d’interface sont-ils si nécessaire atteignables au clavier ?</t>
  </si>
  <si>
    <t>CONSULTATION</t>
  </si>
  <si>
    <t>13.1</t>
  </si>
  <si>
    <t>Pour chaque page web, l’utilisateur a-t-il le contrôle de chaque limite de temps modifiant le contenu (hors cas particuliers) ?</t>
  </si>
  <si>
    <t>13.2</t>
  </si>
  <si>
    <t>Dans chaque page web, l’ouverture d’une nouvelle fenêtre ne doit pas être déclenchée sans action de l’utilisateur. Cette règle est-elle respectée ?</t>
  </si>
  <si>
    <t>13.3</t>
  </si>
  <si>
    <t>Dans chaque page web, chaque document bureautique en téléchargement possède-t-il, si nécessaire, une version accessible (hors cas particuliers) ?</t>
  </si>
  <si>
    <t>13.4</t>
  </si>
  <si>
    <t>Pour chaque document bureautique ayant une version accessible, cette version offre-t-elle la même information ?</t>
  </si>
  <si>
    <t>13.5</t>
  </si>
  <si>
    <t>Dans chaque page web, chaque contenu cryptique (art ASCII, émoticon, syntaxe cryptique) a-t-il une alternative ?</t>
  </si>
  <si>
    <t>13.6</t>
  </si>
  <si>
    <t>Dans chaque page web, pour chaque contenu cryptique (art ASCII, émoticon, syntaxe cryptique) ayant une alternative, cette alternative est-elle pertinente ?</t>
  </si>
  <si>
    <t>13.7</t>
  </si>
  <si>
    <t>Dans chaque page web, les changements brusques de luminosité ou les effets de flash sont-ils correctement utilisés ?</t>
  </si>
  <si>
    <t>13.8</t>
  </si>
  <si>
    <t>Dans chaque page web, chaque contenu en mouvement ou clignotant est-il contrôlable par l’utilisateur ?</t>
  </si>
  <si>
    <t>13.9</t>
  </si>
  <si>
    <t>Dans chaque page web, le contenu proposé est-il consultable quelle que soit l’orientation de l’écran (portait ou paysage) (hors cas particuliers) ?</t>
  </si>
  <si>
    <t>13.10</t>
  </si>
  <si>
    <t>Dans chaque page web, les fonctionnalités utilisables ou disponibles au moyen d’un geste complexe peuvent-elles être également disponibles au moyen d’un geste simple (hors cas particuliers) ?</t>
  </si>
  <si>
    <t>13.11</t>
  </si>
  <si>
    <t>Dans chaque page web, les actions déclenchées au moyen d’un dispositif de pointage sur un point unique de l’écran peuvent-elles faire l’objet d’une annulation (hors cas particuliers) ?</t>
  </si>
  <si>
    <t>13.12</t>
  </si>
  <si>
    <t>Dans chaque page web, les fonctionnalités qui impliquent un mouvement de l’appareil ou vers l’appareil peuvent-elles être satisfaites de manière alternative (hors cas particuliers) ?</t>
  </si>
  <si>
    <t>Spécificité</t>
  </si>
  <si>
    <t>Source technique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</si>
</sst>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YYYY"/>
    <numFmt numFmtId="165" formatCode="dd/mm/yyyy"/>
  </numFmts>
  <fonts count="13">
    <font>
      <sz val="12.0"/>
      <color theme="1"/>
      <name val="Aptos Narrow"/>
      <scheme val="minor"/>
    </font>
    <font>
      <b/>
      <sz val="12.0"/>
      <color rgb="FFFFFFFF"/>
      <name val="Aptos Narrow"/>
    </font>
    <font/>
    <font>
      <sz val="12.0"/>
      <color theme="1"/>
      <name val="Aptos Narrow"/>
    </font>
    <font>
      <sz val="14.0"/>
      <color theme="1"/>
      <name val="Aptos Narrow"/>
    </font>
    <font>
      <b/>
      <u/>
      <sz val="14.0"/>
      <color rgb="FF0000FF"/>
      <name val="Aptos Narrow"/>
    </font>
    <font>
      <sz val="14.0"/>
      <color theme="1"/>
      <name val="Arial"/>
    </font>
    <font>
      <b/>
      <sz val="14.0"/>
      <color theme="1"/>
      <name val="Aptos Narrow"/>
    </font>
    <font>
      <b/>
      <sz val="14.0"/>
      <color theme="0"/>
      <name val="Aptos Narrow"/>
    </font>
    <font>
      <b/>
      <sz val="14.0"/>
      <color rgb="FFFFFFFF"/>
      <name val="Aptos Narrow"/>
    </font>
    <font>
      <b/>
      <sz val="12.0"/>
      <color rgb="FF000000"/>
      <name val="Aptos Narrow"/>
    </font>
    <font>
      <sz val="12.0"/>
      <color rgb="FF000000"/>
      <name val="Aptos Narrow"/>
    </font>
    <font>
      <sz val="12.0"/>
      <color theme="0"/>
      <name val="Aptos Narrow"/>
    </font>
  </fonts>
  <fills count="4">
    <fill>
      <patternFill patternType="none"/>
    </fill>
    <fill>
      <patternFill patternType="lightGray"/>
    </fill>
    <fill>
      <patternFill patternType="solid">
        <fgColor rgb="FF000091"/>
        <bgColor rgb="FF000091"/>
      </patternFill>
    </fill>
    <fill>
      <patternFill patternType="solid">
        <fgColor theme="0"/>
        <bgColor theme="0"/>
      </patternFill>
    </fill>
  </fills>
  <borders count="15">
    <border/>
    <border>
      <left/>
      <top/>
      <bottom/>
    </border>
    <border>
      <top/>
      <bottom/>
    </border>
    <border>
      <right/>
      <top/>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border>
    <border>
      <left style="thin">
        <color rgb="FF000000"/>
      </left>
      <right style="thin">
        <color rgb="FF000000"/>
      </right>
      <top style="thin">
        <color rgb="FF000000"/>
      </top>
    </border>
    <border>
      <right style="thin">
        <color rgb="FF000000"/>
      </right>
      <bottom style="thin">
        <color rgb="FF000000"/>
      </bottom>
    </border>
    <border>
      <left style="thin">
        <color rgb="FF000000"/>
      </left>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37">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0" fontId="2" numFmtId="0" xfId="0" applyBorder="1" applyFont="1"/>
    <xf borderId="3" fillId="0" fontId="2" numFmtId="0" xfId="0" applyBorder="1" applyFont="1"/>
    <xf borderId="0" fillId="0" fontId="3" numFmtId="0" xfId="0" applyFont="1"/>
    <xf borderId="4" fillId="0" fontId="4" numFmtId="0" xfId="0" applyAlignment="1" applyBorder="1" applyFont="1">
      <alignment horizontal="left" shrinkToFit="0" vertical="top" wrapText="1"/>
    </xf>
    <xf borderId="5" fillId="0" fontId="2" numFmtId="0" xfId="0" applyBorder="1" applyFont="1"/>
    <xf borderId="6" fillId="0" fontId="2" numFmtId="0" xfId="0" applyBorder="1" applyFont="1"/>
    <xf borderId="7" fillId="0" fontId="4" numFmtId="0" xfId="0" applyAlignment="1" applyBorder="1" applyFont="1">
      <alignment horizontal="right" vertical="top"/>
    </xf>
    <xf borderId="6" fillId="0" fontId="5" numFmtId="0" xfId="0" applyAlignment="1" applyBorder="1" applyFont="1">
      <alignment horizontal="right" readingOrder="0" vertical="bottom"/>
    </xf>
    <xf borderId="7" fillId="0" fontId="4" numFmtId="164" xfId="0" applyBorder="1" applyFont="1" applyNumberFormat="1"/>
    <xf borderId="7" fillId="0" fontId="6" numFmtId="165" xfId="0" applyAlignment="1" applyBorder="1" applyFont="1" applyNumberFormat="1">
      <alignment horizontal="right" readingOrder="0" vertical="bottom"/>
    </xf>
    <xf borderId="7" fillId="0" fontId="6" numFmtId="0" xfId="0" applyAlignment="1" applyBorder="1" applyFont="1">
      <alignment horizontal="right" vertical="bottom"/>
    </xf>
    <xf borderId="7" fillId="0" fontId="4" numFmtId="0" xfId="0" applyBorder="1" applyFont="1"/>
    <xf borderId="7" fillId="0" fontId="6" numFmtId="0" xfId="0" applyAlignment="1" applyBorder="1" applyFont="1">
      <alignment horizontal="right" readingOrder="0" vertical="bottom"/>
    </xf>
    <xf borderId="7" fillId="0" fontId="4" numFmtId="0" xfId="0" applyAlignment="1" applyBorder="1" applyFont="1">
      <alignment horizontal="right" vertical="bottom"/>
    </xf>
    <xf borderId="4" fillId="0" fontId="7" numFmtId="0" xfId="0" applyAlignment="1" applyBorder="1" applyFont="1">
      <alignment horizontal="left" shrinkToFit="0" vertical="top" wrapText="1"/>
    </xf>
    <xf borderId="7" fillId="0" fontId="7" numFmtId="9" xfId="0" applyBorder="1" applyFont="1" applyNumberFormat="1"/>
    <xf borderId="7" fillId="0" fontId="7" numFmtId="9" xfId="0" applyAlignment="1" applyBorder="1" applyFont="1" applyNumberFormat="1">
      <alignment horizontal="right" vertical="bottom"/>
    </xf>
    <xf borderId="0" fillId="0" fontId="3" numFmtId="0" xfId="0" applyAlignment="1" applyFont="1">
      <alignment horizontal="center" shrinkToFit="0" vertical="center" wrapText="1"/>
    </xf>
    <xf borderId="7" fillId="2" fontId="8" numFmtId="0" xfId="0" applyBorder="1" applyFont="1"/>
    <xf borderId="8" fillId="2" fontId="8" numFmtId="0" xfId="0" applyBorder="1" applyFont="1"/>
    <xf borderId="9" fillId="2" fontId="9" numFmtId="0" xfId="0" applyAlignment="1" applyBorder="1" applyFont="1">
      <alignment shrinkToFit="0" wrapText="1"/>
    </xf>
    <xf borderId="10" fillId="2" fontId="1" numFmtId="0" xfId="0" applyAlignment="1" applyBorder="1" applyFont="1">
      <alignment horizontal="center" shrinkToFit="0" textRotation="90" vertical="center" wrapText="1"/>
    </xf>
    <xf borderId="11" fillId="0" fontId="10" numFmtId="0" xfId="0" applyAlignment="1" applyBorder="1" applyFont="1">
      <alignment horizontal="center" shrinkToFit="0" vertical="center" wrapText="1"/>
    </xf>
    <xf borderId="11" fillId="0" fontId="11" numFmtId="0" xfId="0" applyAlignment="1" applyBorder="1" applyFont="1">
      <alignment horizontal="left" shrinkToFit="0" vertical="center" wrapText="1"/>
    </xf>
    <xf borderId="12" fillId="3" fontId="4" numFmtId="0" xfId="0" applyAlignment="1" applyBorder="1" applyFill="1" applyFont="1">
      <alignment horizontal="left" vertical="top"/>
    </xf>
    <xf borderId="7" fillId="0" fontId="3" numFmtId="0" xfId="0" applyAlignment="1" applyBorder="1" applyFont="1">
      <alignment horizontal="left" shrinkToFit="0" vertical="top" wrapText="1"/>
    </xf>
    <xf borderId="7" fillId="0" fontId="3" numFmtId="0" xfId="0" applyBorder="1" applyFont="1"/>
    <xf borderId="13" fillId="0" fontId="2" numFmtId="0" xfId="0" applyBorder="1" applyFont="1"/>
    <xf borderId="14" fillId="0" fontId="2" numFmtId="0" xfId="0" applyBorder="1" applyFont="1"/>
    <xf borderId="12" fillId="3" fontId="6" numFmtId="0" xfId="0" applyAlignment="1" applyBorder="1" applyFont="1">
      <alignment horizontal="left" readingOrder="0" vertical="top"/>
    </xf>
    <xf borderId="4" fillId="2" fontId="12" numFmtId="0" xfId="0" applyAlignment="1" applyBorder="1" applyFont="1">
      <alignment horizontal="left"/>
    </xf>
    <xf borderId="7" fillId="2" fontId="12" numFmtId="0" xfId="0" applyBorder="1" applyFont="1"/>
    <xf borderId="4" fillId="0" fontId="3" numFmtId="0" xfId="0" applyAlignment="1" applyBorder="1" applyFont="1">
      <alignment horizontal="left" shrinkToFit="0" vertical="top" wrapText="1"/>
    </xf>
    <xf borderId="7" fillId="0" fontId="3" numFmtId="0" xfId="0" applyAlignment="1" applyBorder="1" applyFont="1">
      <alignment horizontal="left" vertical="top"/>
    </xf>
    <xf borderId="4" fillId="0" fontId="3" numFmtId="0" xfId="0" applyAlignment="1" applyBorder="1" applyFont="1">
      <alignment horizontal="left" vertical="top"/>
    </xf>
  </cellXfs>
  <cellStyles count="1">
    <cellStyle xfId="0" name="Normal" builtinId="0"/>
  </cellStyles>
  <dxfs count="4">
    <dxf>
      <font>
        <color rgb="FF9C5700"/>
      </font>
      <fill>
        <patternFill patternType="solid">
          <fgColor rgb="FFFFEB9C"/>
          <bgColor rgb="FFFFEB9C"/>
        </patternFill>
      </fill>
      <border/>
    </dxf>
    <dxf>
      <font>
        <color rgb="FF78206E"/>
      </font>
      <fill>
        <patternFill patternType="solid">
          <fgColor rgb="FFF1CEEE"/>
          <bgColor rgb="FFF1CEEE"/>
        </patternFill>
      </fill>
      <border/>
    </dxf>
    <dxf>
      <font>
        <color rgb="FF006100"/>
      </font>
      <fill>
        <patternFill patternType="solid">
          <fgColor rgb="FFC6EFCE"/>
          <bgColor rgb="FFC6EFCE"/>
        </patternFill>
      </fill>
      <border/>
    </dxf>
    <dxf>
      <font>
        <color rgb="FF9C0006"/>
      </font>
      <fill>
        <patternFill patternType="solid">
          <fgColor rgb="FFFFC7CE"/>
          <bgColor rgb="FFFFC7CE"/>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github.com/assurance-maladie-digital/design-system-v3/issues/654)"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5.0"/>
    <col customWidth="1" min="2" max="2" width="10.33"/>
    <col customWidth="1" min="3" max="3" width="59.78"/>
    <col customWidth="1" min="4" max="4" width="15.11"/>
    <col customWidth="1" min="5" max="5" width="115.11"/>
    <col customWidth="1" min="6" max="6" width="14.78"/>
    <col customWidth="1" min="7" max="26" width="10.78"/>
  </cols>
  <sheetData>
    <row r="1" ht="31.5" customHeight="1">
      <c r="A1" s="1" t="s">
        <v>0</v>
      </c>
      <c r="B1" s="2"/>
      <c r="C1" s="2"/>
      <c r="D1" s="3"/>
      <c r="E1" s="4"/>
      <c r="F1" s="4"/>
      <c r="G1" s="4"/>
      <c r="H1" s="4"/>
      <c r="I1" s="4"/>
      <c r="J1" s="4"/>
      <c r="K1" s="4"/>
      <c r="L1" s="4"/>
      <c r="M1" s="4"/>
      <c r="N1" s="4"/>
      <c r="O1" s="4"/>
      <c r="P1" s="4"/>
      <c r="Q1" s="4"/>
      <c r="R1" s="4"/>
      <c r="S1" s="4"/>
      <c r="T1" s="4"/>
      <c r="U1" s="4"/>
      <c r="V1" s="4"/>
      <c r="W1" s="4"/>
      <c r="X1" s="4"/>
      <c r="Y1" s="4"/>
      <c r="Z1" s="4"/>
    </row>
    <row r="2" ht="15.75" customHeight="1">
      <c r="A2" s="5" t="s">
        <v>1</v>
      </c>
      <c r="B2" s="6"/>
      <c r="C2" s="7"/>
      <c r="D2" s="8" t="s">
        <v>2</v>
      </c>
      <c r="E2" s="9" t="s">
        <v>3</v>
      </c>
      <c r="F2" s="4"/>
      <c r="G2" s="4"/>
      <c r="H2" s="4"/>
      <c r="I2" s="4"/>
      <c r="J2" s="4"/>
      <c r="K2" s="4"/>
      <c r="L2" s="4"/>
      <c r="M2" s="4"/>
      <c r="N2" s="4"/>
      <c r="O2" s="4"/>
      <c r="P2" s="4"/>
      <c r="Q2" s="4"/>
      <c r="R2" s="4"/>
      <c r="S2" s="4"/>
      <c r="T2" s="4"/>
      <c r="U2" s="4"/>
      <c r="V2" s="4"/>
      <c r="W2" s="4"/>
      <c r="X2" s="4"/>
      <c r="Y2" s="4"/>
      <c r="Z2" s="4"/>
    </row>
    <row r="3" ht="15.75" customHeight="1">
      <c r="A3" s="5" t="s">
        <v>4</v>
      </c>
      <c r="B3" s="6"/>
      <c r="C3" s="7"/>
      <c r="D3" s="10">
        <v>45814.0</v>
      </c>
      <c r="E3" s="11">
        <v>45827.0</v>
      </c>
      <c r="F3" s="4"/>
      <c r="G3" s="4"/>
      <c r="H3" s="4"/>
      <c r="I3" s="4"/>
      <c r="J3" s="4"/>
      <c r="K3" s="4"/>
      <c r="L3" s="4"/>
      <c r="M3" s="4"/>
      <c r="N3" s="4"/>
      <c r="O3" s="4"/>
      <c r="P3" s="4"/>
      <c r="Q3" s="4"/>
      <c r="R3" s="4"/>
      <c r="S3" s="4"/>
      <c r="T3" s="4"/>
      <c r="U3" s="4"/>
      <c r="V3" s="4"/>
      <c r="W3" s="4"/>
      <c r="X3" s="4"/>
      <c r="Y3" s="4"/>
      <c r="Z3" s="4"/>
    </row>
    <row r="4" ht="15.75" customHeight="1">
      <c r="A4" s="5" t="s">
        <v>5</v>
      </c>
      <c r="B4" s="6"/>
      <c r="C4" s="7"/>
      <c r="D4" s="8" t="s">
        <v>6</v>
      </c>
      <c r="E4" s="12" t="s">
        <v>7</v>
      </c>
      <c r="F4" s="4"/>
      <c r="G4" s="4"/>
      <c r="H4" s="4"/>
      <c r="I4" s="4"/>
      <c r="J4" s="4"/>
      <c r="K4" s="4"/>
      <c r="L4" s="4"/>
      <c r="M4" s="4"/>
      <c r="N4" s="4"/>
      <c r="O4" s="4"/>
      <c r="P4" s="4"/>
      <c r="Q4" s="4"/>
      <c r="R4" s="4"/>
      <c r="S4" s="4"/>
      <c r="T4" s="4"/>
      <c r="U4" s="4"/>
      <c r="V4" s="4"/>
      <c r="W4" s="4"/>
      <c r="X4" s="4"/>
      <c r="Y4" s="4"/>
      <c r="Z4" s="4"/>
    </row>
    <row r="5" ht="15.75" customHeight="1">
      <c r="A5" s="5" t="s">
        <v>8</v>
      </c>
      <c r="B5" s="6"/>
      <c r="C5" s="7"/>
      <c r="D5" s="13">
        <f> COUNTIF($D$14:$D$119,"Conforme")</f>
        <v>14</v>
      </c>
      <c r="E5" s="14">
        <v>14.0</v>
      </c>
      <c r="F5" s="4"/>
      <c r="G5" s="4"/>
      <c r="H5" s="4"/>
      <c r="I5" s="4"/>
      <c r="J5" s="4"/>
      <c r="K5" s="4"/>
      <c r="L5" s="4"/>
      <c r="M5" s="4"/>
      <c r="N5" s="4"/>
      <c r="O5" s="4"/>
      <c r="P5" s="4"/>
      <c r="Q5" s="4"/>
      <c r="R5" s="4"/>
      <c r="S5" s="4"/>
      <c r="T5" s="4"/>
      <c r="U5" s="4"/>
      <c r="V5" s="4"/>
      <c r="W5" s="4"/>
      <c r="X5" s="4"/>
      <c r="Y5" s="4"/>
      <c r="Z5" s="4"/>
    </row>
    <row r="6" ht="15.75" customHeight="1">
      <c r="A6" s="5" t="s">
        <v>9</v>
      </c>
      <c r="B6" s="6"/>
      <c r="C6" s="7"/>
      <c r="D6" s="13">
        <f> COUNTIF($D$14:$D$119,"Non conforme")</f>
        <v>0</v>
      </c>
      <c r="E6" s="15">
        <v>0.0</v>
      </c>
      <c r="F6" s="4"/>
      <c r="G6" s="4"/>
      <c r="H6" s="4"/>
      <c r="I6" s="4"/>
      <c r="J6" s="4"/>
      <c r="K6" s="4"/>
      <c r="L6" s="4"/>
      <c r="M6" s="4"/>
      <c r="N6" s="4"/>
      <c r="O6" s="4"/>
      <c r="P6" s="4"/>
      <c r="Q6" s="4"/>
      <c r="R6" s="4"/>
      <c r="S6" s="4"/>
      <c r="T6" s="4"/>
      <c r="U6" s="4"/>
      <c r="V6" s="4"/>
      <c r="W6" s="4"/>
      <c r="X6" s="4"/>
      <c r="Y6" s="4"/>
      <c r="Z6" s="4"/>
    </row>
    <row r="7" ht="15.75" customHeight="1">
      <c r="A7" s="5" t="s">
        <v>10</v>
      </c>
      <c r="B7" s="6"/>
      <c r="C7" s="7"/>
      <c r="D7" s="13">
        <f> COUNTIF($D$14:$D$119,"Non applicable")</f>
        <v>92</v>
      </c>
      <c r="E7" s="15">
        <v>89.0</v>
      </c>
      <c r="F7" s="4"/>
      <c r="G7" s="4"/>
      <c r="H7" s="4"/>
      <c r="I7" s="4"/>
      <c r="J7" s="4"/>
      <c r="K7" s="4"/>
      <c r="L7" s="4"/>
      <c r="M7" s="4"/>
      <c r="N7" s="4"/>
      <c r="O7" s="4"/>
      <c r="P7" s="4"/>
      <c r="Q7" s="4"/>
      <c r="R7" s="4"/>
      <c r="S7" s="4"/>
      <c r="T7" s="4"/>
      <c r="U7" s="4"/>
      <c r="V7" s="4"/>
      <c r="W7" s="4"/>
      <c r="X7" s="4"/>
      <c r="Y7" s="4"/>
      <c r="Z7" s="4"/>
    </row>
    <row r="8" ht="15.75" customHeight="1">
      <c r="A8" s="5" t="s">
        <v>11</v>
      </c>
      <c r="B8" s="6"/>
      <c r="C8" s="7"/>
      <c r="D8" s="13">
        <f> COUNTIF($D$14:$D$119,"Dérogé")</f>
        <v>0</v>
      </c>
      <c r="E8" s="15">
        <v>0.0</v>
      </c>
      <c r="F8" s="4"/>
      <c r="G8" s="4"/>
      <c r="H8" s="4"/>
      <c r="I8" s="4"/>
      <c r="J8" s="4"/>
      <c r="K8" s="4"/>
      <c r="L8" s="4"/>
      <c r="M8" s="4"/>
      <c r="N8" s="4"/>
      <c r="O8" s="4"/>
      <c r="P8" s="4"/>
      <c r="Q8" s="4"/>
      <c r="R8" s="4"/>
      <c r="S8" s="4"/>
      <c r="T8" s="4"/>
      <c r="U8" s="4"/>
      <c r="V8" s="4"/>
      <c r="W8" s="4"/>
      <c r="X8" s="4"/>
      <c r="Y8" s="4"/>
      <c r="Z8" s="4"/>
    </row>
    <row r="9" ht="15.75" customHeight="1">
      <c r="A9" s="5" t="s">
        <v>12</v>
      </c>
      <c r="B9" s="6"/>
      <c r="C9" s="7"/>
      <c r="D9" s="13">
        <f> COUNTIF($D$14:$D$119,"Non testé")</f>
        <v>0</v>
      </c>
      <c r="E9" s="15">
        <v>0.0</v>
      </c>
      <c r="F9" s="4"/>
      <c r="G9" s="4"/>
      <c r="H9" s="4"/>
      <c r="I9" s="4"/>
      <c r="J9" s="4"/>
      <c r="K9" s="4"/>
      <c r="L9" s="4"/>
      <c r="M9" s="4"/>
      <c r="N9" s="4"/>
      <c r="O9" s="4"/>
      <c r="P9" s="4"/>
      <c r="Q9" s="4"/>
      <c r="R9" s="4"/>
      <c r="S9" s="4"/>
      <c r="T9" s="4"/>
      <c r="U9" s="4"/>
      <c r="V9" s="4"/>
      <c r="W9" s="4"/>
      <c r="X9" s="4"/>
      <c r="Y9" s="4"/>
      <c r="Z9" s="4"/>
    </row>
    <row r="10" ht="18.75" customHeight="1">
      <c r="A10" s="16" t="s">
        <v>13</v>
      </c>
      <c r="B10" s="6"/>
      <c r="C10" s="7"/>
      <c r="D10" s="17">
        <f>IF(SUM(D5:D6)&gt;0,D5/SUM(D5:D6),"")</f>
        <v>1</v>
      </c>
      <c r="E10" s="18">
        <v>1.0</v>
      </c>
      <c r="F10" s="4"/>
      <c r="G10" s="4"/>
      <c r="H10" s="4"/>
      <c r="I10" s="4"/>
      <c r="J10" s="4"/>
      <c r="K10" s="4"/>
      <c r="L10" s="4"/>
      <c r="M10" s="4"/>
      <c r="N10" s="4"/>
      <c r="O10" s="4"/>
      <c r="P10" s="4"/>
      <c r="Q10" s="4"/>
      <c r="R10" s="4"/>
      <c r="S10" s="4"/>
      <c r="T10" s="4"/>
      <c r="U10" s="4"/>
      <c r="V10" s="4"/>
      <c r="W10" s="4"/>
      <c r="X10" s="4"/>
      <c r="Y10" s="4"/>
      <c r="Z10" s="4"/>
    </row>
    <row r="11" ht="18.75" customHeight="1">
      <c r="A11" s="16" t="s">
        <v>14</v>
      </c>
      <c r="B11" s="6"/>
      <c r="C11" s="7"/>
      <c r="D11" s="17">
        <f>IF(SUM(D5:D6)&gt;0,1-ROUND(D10,2),"")</f>
        <v>0</v>
      </c>
      <c r="E11" s="18">
        <v>0.0</v>
      </c>
      <c r="F11" s="4"/>
      <c r="G11" s="4"/>
      <c r="H11" s="4"/>
      <c r="I11" s="4"/>
      <c r="J11" s="4"/>
      <c r="K11" s="4"/>
      <c r="L11" s="4"/>
      <c r="M11" s="4"/>
      <c r="N11" s="4"/>
      <c r="O11" s="4"/>
      <c r="P11" s="4"/>
      <c r="Q11" s="4"/>
      <c r="R11" s="4"/>
      <c r="S11" s="4"/>
      <c r="T11" s="4"/>
      <c r="U11" s="4"/>
      <c r="V11" s="4"/>
      <c r="W11" s="4"/>
      <c r="X11" s="4"/>
      <c r="Y11" s="4"/>
      <c r="Z11" s="4"/>
    </row>
    <row r="12" ht="15.75" customHeight="1">
      <c r="A12" s="19"/>
      <c r="B12" s="19"/>
      <c r="C12" s="19"/>
      <c r="D12" s="4"/>
      <c r="E12" s="4"/>
      <c r="F12" s="4"/>
      <c r="G12" s="4"/>
      <c r="H12" s="4"/>
      <c r="I12" s="4"/>
      <c r="J12" s="4"/>
      <c r="K12" s="4"/>
      <c r="L12" s="4"/>
      <c r="M12" s="4"/>
      <c r="N12" s="4"/>
      <c r="O12" s="4"/>
      <c r="P12" s="4"/>
      <c r="Q12" s="4"/>
      <c r="R12" s="4"/>
      <c r="S12" s="4"/>
      <c r="T12" s="4"/>
      <c r="U12" s="4"/>
      <c r="V12" s="4"/>
      <c r="W12" s="4"/>
      <c r="X12" s="4"/>
      <c r="Y12" s="4"/>
      <c r="Z12" s="4"/>
    </row>
    <row r="13" ht="15.75" customHeight="1">
      <c r="A13" s="20" t="s">
        <v>15</v>
      </c>
      <c r="B13" s="20" t="s">
        <v>16</v>
      </c>
      <c r="C13" s="20" t="s">
        <v>17</v>
      </c>
      <c r="D13" s="20" t="s">
        <v>18</v>
      </c>
      <c r="E13" s="21" t="s">
        <v>19</v>
      </c>
      <c r="F13" s="22" t="s">
        <v>20</v>
      </c>
      <c r="G13" s="4"/>
      <c r="H13" s="4"/>
      <c r="I13" s="4"/>
      <c r="J13" s="4"/>
      <c r="K13" s="4"/>
      <c r="L13" s="4"/>
      <c r="M13" s="4"/>
      <c r="N13" s="4"/>
      <c r="O13" s="4"/>
      <c r="P13" s="4"/>
      <c r="Q13" s="4"/>
      <c r="R13" s="4"/>
      <c r="S13" s="4"/>
      <c r="T13" s="4"/>
      <c r="U13" s="4"/>
      <c r="V13" s="4"/>
      <c r="W13" s="4"/>
      <c r="X13" s="4"/>
      <c r="Y13" s="4"/>
      <c r="Z13" s="4"/>
    </row>
    <row r="14" ht="15.75" customHeight="1">
      <c r="A14" s="23" t="s">
        <v>21</v>
      </c>
      <c r="B14" s="24" t="s">
        <v>22</v>
      </c>
      <c r="C14" s="25" t="s">
        <v>23</v>
      </c>
      <c r="D14" s="26" t="s">
        <v>24</v>
      </c>
      <c r="E14" s="27"/>
      <c r="F14" s="28"/>
      <c r="G14" s="4"/>
      <c r="H14" s="4"/>
      <c r="I14" s="4"/>
      <c r="J14" s="4"/>
      <c r="K14" s="4"/>
      <c r="L14" s="4"/>
      <c r="M14" s="4"/>
      <c r="N14" s="4"/>
      <c r="O14" s="4"/>
      <c r="P14" s="4"/>
      <c r="Q14" s="4"/>
      <c r="R14" s="4"/>
      <c r="S14" s="4"/>
      <c r="T14" s="4"/>
      <c r="U14" s="4"/>
      <c r="V14" s="4"/>
      <c r="W14" s="4"/>
      <c r="X14" s="4"/>
      <c r="Y14" s="4"/>
      <c r="Z14" s="4"/>
    </row>
    <row r="15" ht="15.75" customHeight="1">
      <c r="A15" s="29"/>
      <c r="B15" s="24" t="s">
        <v>25</v>
      </c>
      <c r="C15" s="25" t="s">
        <v>26</v>
      </c>
      <c r="D15" s="26" t="s">
        <v>24</v>
      </c>
      <c r="E15" s="27"/>
      <c r="F15" s="28"/>
      <c r="G15" s="4"/>
      <c r="H15" s="4"/>
      <c r="I15" s="4"/>
      <c r="J15" s="4"/>
      <c r="K15" s="4"/>
      <c r="L15" s="4"/>
      <c r="M15" s="4"/>
      <c r="N15" s="4"/>
      <c r="O15" s="4"/>
      <c r="P15" s="4"/>
      <c r="Q15" s="4"/>
      <c r="R15" s="4"/>
      <c r="S15" s="4"/>
      <c r="T15" s="4"/>
      <c r="U15" s="4"/>
      <c r="V15" s="4"/>
      <c r="W15" s="4"/>
      <c r="X15" s="4"/>
      <c r="Y15" s="4"/>
      <c r="Z15" s="4"/>
    </row>
    <row r="16" ht="15.75" customHeight="1">
      <c r="A16" s="29"/>
      <c r="B16" s="24" t="s">
        <v>27</v>
      </c>
      <c r="C16" s="25" t="s">
        <v>28</v>
      </c>
      <c r="D16" s="26" t="s">
        <v>24</v>
      </c>
      <c r="E16" s="27"/>
      <c r="F16" s="28"/>
      <c r="G16" s="4"/>
      <c r="H16" s="4"/>
      <c r="I16" s="4"/>
      <c r="J16" s="4"/>
      <c r="K16" s="4"/>
      <c r="L16" s="4"/>
      <c r="M16" s="4"/>
      <c r="N16" s="4"/>
      <c r="O16" s="4"/>
      <c r="P16" s="4"/>
      <c r="Q16" s="4"/>
      <c r="R16" s="4"/>
      <c r="S16" s="4"/>
      <c r="T16" s="4"/>
      <c r="U16" s="4"/>
      <c r="V16" s="4"/>
      <c r="W16" s="4"/>
      <c r="X16" s="4"/>
      <c r="Y16" s="4"/>
      <c r="Z16" s="4"/>
    </row>
    <row r="17" ht="15.75" customHeight="1">
      <c r="A17" s="29"/>
      <c r="B17" s="24" t="s">
        <v>29</v>
      </c>
      <c r="C17" s="25" t="s">
        <v>30</v>
      </c>
      <c r="D17" s="26" t="s">
        <v>24</v>
      </c>
      <c r="E17" s="27"/>
      <c r="F17" s="28"/>
      <c r="G17" s="4"/>
      <c r="H17" s="4"/>
      <c r="I17" s="4"/>
      <c r="J17" s="4"/>
      <c r="K17" s="4"/>
      <c r="L17" s="4"/>
      <c r="M17" s="4"/>
      <c r="N17" s="4"/>
      <c r="O17" s="4"/>
      <c r="P17" s="4"/>
      <c r="Q17" s="4"/>
      <c r="R17" s="4"/>
      <c r="S17" s="4"/>
      <c r="T17" s="4"/>
      <c r="U17" s="4"/>
      <c r="V17" s="4"/>
      <c r="W17" s="4"/>
      <c r="X17" s="4"/>
      <c r="Y17" s="4"/>
      <c r="Z17" s="4"/>
    </row>
    <row r="18" ht="15.75" customHeight="1">
      <c r="A18" s="29"/>
      <c r="B18" s="24" t="s">
        <v>31</v>
      </c>
      <c r="C18" s="25" t="s">
        <v>32</v>
      </c>
      <c r="D18" s="26" t="s">
        <v>24</v>
      </c>
      <c r="E18" s="27"/>
      <c r="F18" s="28"/>
      <c r="G18" s="4"/>
      <c r="H18" s="4"/>
      <c r="I18" s="4"/>
      <c r="J18" s="4"/>
      <c r="K18" s="4"/>
      <c r="L18" s="4"/>
      <c r="M18" s="4"/>
      <c r="N18" s="4"/>
      <c r="O18" s="4"/>
      <c r="P18" s="4"/>
      <c r="Q18" s="4"/>
      <c r="R18" s="4"/>
      <c r="S18" s="4"/>
      <c r="T18" s="4"/>
      <c r="U18" s="4"/>
      <c r="V18" s="4"/>
      <c r="W18" s="4"/>
      <c r="X18" s="4"/>
      <c r="Y18" s="4"/>
      <c r="Z18" s="4"/>
    </row>
    <row r="19" ht="15.75" customHeight="1">
      <c r="A19" s="29"/>
      <c r="B19" s="24" t="s">
        <v>33</v>
      </c>
      <c r="C19" s="25" t="s">
        <v>34</v>
      </c>
      <c r="D19" s="26" t="s">
        <v>24</v>
      </c>
      <c r="E19" s="27"/>
      <c r="F19" s="28"/>
      <c r="G19" s="4"/>
      <c r="H19" s="4"/>
      <c r="I19" s="4"/>
      <c r="J19" s="4"/>
      <c r="K19" s="4"/>
      <c r="L19" s="4"/>
      <c r="M19" s="4"/>
      <c r="N19" s="4"/>
      <c r="O19" s="4"/>
      <c r="P19" s="4"/>
      <c r="Q19" s="4"/>
      <c r="R19" s="4"/>
      <c r="S19" s="4"/>
      <c r="T19" s="4"/>
      <c r="U19" s="4"/>
      <c r="V19" s="4"/>
      <c r="W19" s="4"/>
      <c r="X19" s="4"/>
      <c r="Y19" s="4"/>
      <c r="Z19" s="4"/>
    </row>
    <row r="20" ht="15.75" customHeight="1">
      <c r="A20" s="29"/>
      <c r="B20" s="24" t="s">
        <v>35</v>
      </c>
      <c r="C20" s="25" t="s">
        <v>36</v>
      </c>
      <c r="D20" s="26" t="s">
        <v>24</v>
      </c>
      <c r="E20" s="27"/>
      <c r="F20" s="28"/>
      <c r="G20" s="4"/>
      <c r="H20" s="4"/>
      <c r="I20" s="4"/>
      <c r="J20" s="4"/>
      <c r="K20" s="4"/>
      <c r="L20" s="4"/>
      <c r="M20" s="4"/>
      <c r="N20" s="4"/>
      <c r="O20" s="4"/>
      <c r="P20" s="4"/>
      <c r="Q20" s="4"/>
      <c r="R20" s="4"/>
      <c r="S20" s="4"/>
      <c r="T20" s="4"/>
      <c r="U20" s="4"/>
      <c r="V20" s="4"/>
      <c r="W20" s="4"/>
      <c r="X20" s="4"/>
      <c r="Y20" s="4"/>
      <c r="Z20" s="4"/>
    </row>
    <row r="21" ht="15.75" customHeight="1">
      <c r="A21" s="29"/>
      <c r="B21" s="24" t="s">
        <v>37</v>
      </c>
      <c r="C21" s="25" t="s">
        <v>38</v>
      </c>
      <c r="D21" s="26" t="s">
        <v>24</v>
      </c>
      <c r="E21" s="27"/>
      <c r="F21" s="28"/>
      <c r="G21" s="4"/>
      <c r="H21" s="4"/>
      <c r="I21" s="4"/>
      <c r="J21" s="4"/>
      <c r="K21" s="4"/>
      <c r="L21" s="4"/>
      <c r="M21" s="4"/>
      <c r="N21" s="4"/>
      <c r="O21" s="4"/>
      <c r="P21" s="4"/>
      <c r="Q21" s="4"/>
      <c r="R21" s="4"/>
      <c r="S21" s="4"/>
      <c r="T21" s="4"/>
      <c r="U21" s="4"/>
      <c r="V21" s="4"/>
      <c r="W21" s="4"/>
      <c r="X21" s="4"/>
      <c r="Y21" s="4"/>
      <c r="Z21" s="4"/>
    </row>
    <row r="22" ht="15.75" customHeight="1">
      <c r="A22" s="30"/>
      <c r="B22" s="24" t="s">
        <v>39</v>
      </c>
      <c r="C22" s="25" t="s">
        <v>40</v>
      </c>
      <c r="D22" s="26" t="s">
        <v>24</v>
      </c>
      <c r="E22" s="27"/>
      <c r="F22" s="28"/>
      <c r="G22" s="4"/>
      <c r="H22" s="4"/>
      <c r="I22" s="4"/>
      <c r="J22" s="4"/>
      <c r="K22" s="4"/>
      <c r="L22" s="4"/>
      <c r="M22" s="4"/>
      <c r="N22" s="4"/>
      <c r="O22" s="4"/>
      <c r="P22" s="4"/>
      <c r="Q22" s="4"/>
      <c r="R22" s="4"/>
      <c r="S22" s="4"/>
      <c r="T22" s="4"/>
      <c r="U22" s="4"/>
      <c r="V22" s="4"/>
      <c r="W22" s="4"/>
      <c r="X22" s="4"/>
      <c r="Y22" s="4"/>
      <c r="Z22" s="4"/>
    </row>
    <row r="23" ht="15.75" customHeight="1">
      <c r="A23" s="23" t="s">
        <v>41</v>
      </c>
      <c r="B23" s="24" t="s">
        <v>42</v>
      </c>
      <c r="C23" s="25" t="s">
        <v>43</v>
      </c>
      <c r="D23" s="26" t="s">
        <v>24</v>
      </c>
      <c r="E23" s="27"/>
      <c r="F23" s="28"/>
      <c r="G23" s="4"/>
      <c r="H23" s="4"/>
      <c r="I23" s="4"/>
      <c r="J23" s="4"/>
      <c r="K23" s="4"/>
      <c r="L23" s="4"/>
      <c r="M23" s="4"/>
      <c r="N23" s="4"/>
      <c r="O23" s="4"/>
      <c r="P23" s="4"/>
      <c r="Q23" s="4"/>
      <c r="R23" s="4"/>
      <c r="S23" s="4"/>
      <c r="T23" s="4"/>
      <c r="U23" s="4"/>
      <c r="V23" s="4"/>
      <c r="W23" s="4"/>
      <c r="X23" s="4"/>
      <c r="Y23" s="4"/>
      <c r="Z23" s="4"/>
    </row>
    <row r="24" ht="15.75" customHeight="1">
      <c r="A24" s="30"/>
      <c r="B24" s="24" t="s">
        <v>44</v>
      </c>
      <c r="C24" s="25" t="s">
        <v>45</v>
      </c>
      <c r="D24" s="26" t="s">
        <v>24</v>
      </c>
      <c r="E24" s="27"/>
      <c r="F24" s="28"/>
      <c r="G24" s="4"/>
      <c r="H24" s="4"/>
      <c r="I24" s="4"/>
      <c r="J24" s="4"/>
      <c r="K24" s="4"/>
      <c r="L24" s="4"/>
      <c r="M24" s="4"/>
      <c r="N24" s="4"/>
      <c r="O24" s="4"/>
      <c r="P24" s="4"/>
      <c r="Q24" s="4"/>
      <c r="R24" s="4"/>
      <c r="S24" s="4"/>
      <c r="T24" s="4"/>
      <c r="U24" s="4"/>
      <c r="V24" s="4"/>
      <c r="W24" s="4"/>
      <c r="X24" s="4"/>
      <c r="Y24" s="4"/>
      <c r="Z24" s="4"/>
    </row>
    <row r="25" ht="15.75" customHeight="1">
      <c r="A25" s="23" t="s">
        <v>46</v>
      </c>
      <c r="B25" s="24" t="s">
        <v>47</v>
      </c>
      <c r="C25" s="25" t="s">
        <v>48</v>
      </c>
      <c r="D25" s="26" t="s">
        <v>24</v>
      </c>
      <c r="E25" s="27"/>
      <c r="F25" s="28"/>
      <c r="G25" s="4"/>
      <c r="H25" s="4"/>
      <c r="I25" s="4"/>
      <c r="J25" s="4"/>
      <c r="K25" s="4"/>
      <c r="L25" s="4"/>
      <c r="M25" s="4"/>
      <c r="N25" s="4"/>
      <c r="O25" s="4"/>
      <c r="P25" s="4"/>
      <c r="Q25" s="4"/>
      <c r="R25" s="4"/>
      <c r="S25" s="4"/>
      <c r="T25" s="4"/>
      <c r="U25" s="4"/>
      <c r="V25" s="4"/>
      <c r="W25" s="4"/>
      <c r="X25" s="4"/>
      <c r="Y25" s="4"/>
      <c r="Z25" s="4"/>
    </row>
    <row r="26" ht="15.75" customHeight="1">
      <c r="A26" s="29"/>
      <c r="B26" s="24" t="s">
        <v>49</v>
      </c>
      <c r="C26" s="25" t="s">
        <v>50</v>
      </c>
      <c r="D26" s="26" t="s">
        <v>51</v>
      </c>
      <c r="E26" s="27" t="s">
        <v>52</v>
      </c>
      <c r="F26" s="28"/>
      <c r="G26" s="4"/>
      <c r="H26" s="4"/>
      <c r="I26" s="4"/>
      <c r="J26" s="4"/>
      <c r="K26" s="4"/>
      <c r="L26" s="4"/>
      <c r="M26" s="4"/>
      <c r="N26" s="4"/>
      <c r="O26" s="4"/>
      <c r="P26" s="4"/>
      <c r="Q26" s="4"/>
      <c r="R26" s="4"/>
      <c r="S26" s="4"/>
      <c r="T26" s="4"/>
      <c r="U26" s="4"/>
      <c r="V26" s="4"/>
      <c r="W26" s="4"/>
      <c r="X26" s="4"/>
      <c r="Y26" s="4"/>
      <c r="Z26" s="4"/>
    </row>
    <row r="27" ht="15.75" customHeight="1">
      <c r="A27" s="30"/>
      <c r="B27" s="24" t="s">
        <v>53</v>
      </c>
      <c r="C27" s="25" t="s">
        <v>54</v>
      </c>
      <c r="D27" s="26" t="s">
        <v>24</v>
      </c>
      <c r="E27" s="27"/>
      <c r="F27" s="28"/>
      <c r="G27" s="4"/>
      <c r="H27" s="4"/>
      <c r="I27" s="4"/>
      <c r="J27" s="4"/>
      <c r="K27" s="4"/>
      <c r="L27" s="4"/>
      <c r="M27" s="4"/>
      <c r="N27" s="4"/>
      <c r="O27" s="4"/>
      <c r="P27" s="4"/>
      <c r="Q27" s="4"/>
      <c r="R27" s="4"/>
      <c r="S27" s="4"/>
      <c r="T27" s="4"/>
      <c r="U27" s="4"/>
      <c r="V27" s="4"/>
      <c r="W27" s="4"/>
      <c r="X27" s="4"/>
      <c r="Y27" s="4"/>
      <c r="Z27" s="4"/>
    </row>
    <row r="28" ht="15.75" customHeight="1">
      <c r="A28" s="23" t="s">
        <v>55</v>
      </c>
      <c r="B28" s="24" t="s">
        <v>56</v>
      </c>
      <c r="C28" s="25" t="s">
        <v>57</v>
      </c>
      <c r="D28" s="26" t="s">
        <v>24</v>
      </c>
      <c r="E28" s="27"/>
      <c r="F28" s="28"/>
      <c r="G28" s="4"/>
      <c r="H28" s="4"/>
      <c r="I28" s="4"/>
      <c r="J28" s="4"/>
      <c r="K28" s="4"/>
      <c r="L28" s="4"/>
      <c r="M28" s="4"/>
      <c r="N28" s="4"/>
      <c r="O28" s="4"/>
      <c r="P28" s="4"/>
      <c r="Q28" s="4"/>
      <c r="R28" s="4"/>
      <c r="S28" s="4"/>
      <c r="T28" s="4"/>
      <c r="U28" s="4"/>
      <c r="V28" s="4"/>
      <c r="W28" s="4"/>
      <c r="X28" s="4"/>
      <c r="Y28" s="4"/>
      <c r="Z28" s="4"/>
    </row>
    <row r="29" ht="15.75" customHeight="1">
      <c r="A29" s="29"/>
      <c r="B29" s="24" t="s">
        <v>58</v>
      </c>
      <c r="C29" s="25" t="s">
        <v>59</v>
      </c>
      <c r="D29" s="26" t="s">
        <v>24</v>
      </c>
      <c r="E29" s="27"/>
      <c r="F29" s="28"/>
      <c r="G29" s="4"/>
      <c r="H29" s="4"/>
      <c r="I29" s="4"/>
      <c r="J29" s="4"/>
      <c r="K29" s="4"/>
      <c r="L29" s="4"/>
      <c r="M29" s="4"/>
      <c r="N29" s="4"/>
      <c r="O29" s="4"/>
      <c r="P29" s="4"/>
      <c r="Q29" s="4"/>
      <c r="R29" s="4"/>
      <c r="S29" s="4"/>
      <c r="T29" s="4"/>
      <c r="U29" s="4"/>
      <c r="V29" s="4"/>
      <c r="W29" s="4"/>
      <c r="X29" s="4"/>
      <c r="Y29" s="4"/>
      <c r="Z29" s="4"/>
    </row>
    <row r="30" ht="15.75" customHeight="1">
      <c r="A30" s="29"/>
      <c r="B30" s="24" t="s">
        <v>60</v>
      </c>
      <c r="C30" s="25" t="s">
        <v>61</v>
      </c>
      <c r="D30" s="26" t="s">
        <v>24</v>
      </c>
      <c r="E30" s="27"/>
      <c r="F30" s="28"/>
      <c r="G30" s="4"/>
      <c r="H30" s="4"/>
      <c r="I30" s="4"/>
      <c r="J30" s="4"/>
      <c r="K30" s="4"/>
      <c r="L30" s="4"/>
      <c r="M30" s="4"/>
      <c r="N30" s="4"/>
      <c r="O30" s="4"/>
      <c r="P30" s="4"/>
      <c r="Q30" s="4"/>
      <c r="R30" s="4"/>
      <c r="S30" s="4"/>
      <c r="T30" s="4"/>
      <c r="U30" s="4"/>
      <c r="V30" s="4"/>
      <c r="W30" s="4"/>
      <c r="X30" s="4"/>
      <c r="Y30" s="4"/>
      <c r="Z30" s="4"/>
    </row>
    <row r="31" ht="15.75" customHeight="1">
      <c r="A31" s="29"/>
      <c r="B31" s="24" t="s">
        <v>62</v>
      </c>
      <c r="C31" s="25" t="s">
        <v>63</v>
      </c>
      <c r="D31" s="26" t="s">
        <v>24</v>
      </c>
      <c r="E31" s="27"/>
      <c r="F31" s="28"/>
      <c r="G31" s="4"/>
      <c r="H31" s="4"/>
      <c r="I31" s="4"/>
      <c r="J31" s="4"/>
      <c r="K31" s="4"/>
      <c r="L31" s="4"/>
      <c r="M31" s="4"/>
      <c r="N31" s="4"/>
      <c r="O31" s="4"/>
      <c r="P31" s="4"/>
      <c r="Q31" s="4"/>
      <c r="R31" s="4"/>
      <c r="S31" s="4"/>
      <c r="T31" s="4"/>
      <c r="U31" s="4"/>
      <c r="V31" s="4"/>
      <c r="W31" s="4"/>
      <c r="X31" s="4"/>
      <c r="Y31" s="4"/>
      <c r="Z31" s="4"/>
    </row>
    <row r="32" ht="15.75" customHeight="1">
      <c r="A32" s="29"/>
      <c r="B32" s="24" t="s">
        <v>64</v>
      </c>
      <c r="C32" s="25" t="s">
        <v>65</v>
      </c>
      <c r="D32" s="26" t="s">
        <v>24</v>
      </c>
      <c r="E32" s="27"/>
      <c r="F32" s="28"/>
      <c r="G32" s="4"/>
      <c r="H32" s="4"/>
      <c r="I32" s="4"/>
      <c r="J32" s="4"/>
      <c r="K32" s="4"/>
      <c r="L32" s="4"/>
      <c r="M32" s="4"/>
      <c r="N32" s="4"/>
      <c r="O32" s="4"/>
      <c r="P32" s="4"/>
      <c r="Q32" s="4"/>
      <c r="R32" s="4"/>
      <c r="S32" s="4"/>
      <c r="T32" s="4"/>
      <c r="U32" s="4"/>
      <c r="V32" s="4"/>
      <c r="W32" s="4"/>
      <c r="X32" s="4"/>
      <c r="Y32" s="4"/>
      <c r="Z32" s="4"/>
    </row>
    <row r="33" ht="15.75" customHeight="1">
      <c r="A33" s="29"/>
      <c r="B33" s="24" t="s">
        <v>66</v>
      </c>
      <c r="C33" s="25" t="s">
        <v>67</v>
      </c>
      <c r="D33" s="26" t="s">
        <v>24</v>
      </c>
      <c r="E33" s="27"/>
      <c r="F33" s="28"/>
      <c r="G33" s="4"/>
      <c r="H33" s="4"/>
      <c r="I33" s="4"/>
      <c r="J33" s="4"/>
      <c r="K33" s="4"/>
      <c r="L33" s="4"/>
      <c r="M33" s="4"/>
      <c r="N33" s="4"/>
      <c r="O33" s="4"/>
      <c r="P33" s="4"/>
      <c r="Q33" s="4"/>
      <c r="R33" s="4"/>
      <c r="S33" s="4"/>
      <c r="T33" s="4"/>
      <c r="U33" s="4"/>
      <c r="V33" s="4"/>
      <c r="W33" s="4"/>
      <c r="X33" s="4"/>
      <c r="Y33" s="4"/>
      <c r="Z33" s="4"/>
    </row>
    <row r="34" ht="15.75" customHeight="1">
      <c r="A34" s="29"/>
      <c r="B34" s="24" t="s">
        <v>68</v>
      </c>
      <c r="C34" s="25" t="s">
        <v>69</v>
      </c>
      <c r="D34" s="26" t="s">
        <v>24</v>
      </c>
      <c r="E34" s="27"/>
      <c r="F34" s="28"/>
      <c r="G34" s="4"/>
      <c r="H34" s="4"/>
      <c r="I34" s="4"/>
      <c r="J34" s="4"/>
      <c r="K34" s="4"/>
      <c r="L34" s="4"/>
      <c r="M34" s="4"/>
      <c r="N34" s="4"/>
      <c r="O34" s="4"/>
      <c r="P34" s="4"/>
      <c r="Q34" s="4"/>
      <c r="R34" s="4"/>
      <c r="S34" s="4"/>
      <c r="T34" s="4"/>
      <c r="U34" s="4"/>
      <c r="V34" s="4"/>
      <c r="W34" s="4"/>
      <c r="X34" s="4"/>
      <c r="Y34" s="4"/>
      <c r="Z34" s="4"/>
    </row>
    <row r="35" ht="15.75" customHeight="1">
      <c r="A35" s="29"/>
      <c r="B35" s="24" t="s">
        <v>70</v>
      </c>
      <c r="C35" s="25" t="s">
        <v>71</v>
      </c>
      <c r="D35" s="26" t="s">
        <v>24</v>
      </c>
      <c r="E35" s="27"/>
      <c r="F35" s="28"/>
      <c r="G35" s="4"/>
      <c r="H35" s="4"/>
      <c r="I35" s="4"/>
      <c r="J35" s="4"/>
      <c r="K35" s="4"/>
      <c r="L35" s="4"/>
      <c r="M35" s="4"/>
      <c r="N35" s="4"/>
      <c r="O35" s="4"/>
      <c r="P35" s="4"/>
      <c r="Q35" s="4"/>
      <c r="R35" s="4"/>
      <c r="S35" s="4"/>
      <c r="T35" s="4"/>
      <c r="U35" s="4"/>
      <c r="V35" s="4"/>
      <c r="W35" s="4"/>
      <c r="X35" s="4"/>
      <c r="Y35" s="4"/>
      <c r="Z35" s="4"/>
    </row>
    <row r="36" ht="15.75" customHeight="1">
      <c r="A36" s="29"/>
      <c r="B36" s="24" t="s">
        <v>72</v>
      </c>
      <c r="C36" s="25" t="s">
        <v>73</v>
      </c>
      <c r="D36" s="26" t="s">
        <v>24</v>
      </c>
      <c r="E36" s="27"/>
      <c r="F36" s="28"/>
      <c r="G36" s="4"/>
      <c r="H36" s="4"/>
      <c r="I36" s="4"/>
      <c r="J36" s="4"/>
      <c r="K36" s="4"/>
      <c r="L36" s="4"/>
      <c r="M36" s="4"/>
      <c r="N36" s="4"/>
      <c r="O36" s="4"/>
      <c r="P36" s="4"/>
      <c r="Q36" s="4"/>
      <c r="R36" s="4"/>
      <c r="S36" s="4"/>
      <c r="T36" s="4"/>
      <c r="U36" s="4"/>
      <c r="V36" s="4"/>
      <c r="W36" s="4"/>
      <c r="X36" s="4"/>
      <c r="Y36" s="4"/>
      <c r="Z36" s="4"/>
    </row>
    <row r="37" ht="15.75" customHeight="1">
      <c r="A37" s="29"/>
      <c r="B37" s="24" t="s">
        <v>74</v>
      </c>
      <c r="C37" s="25" t="s">
        <v>75</v>
      </c>
      <c r="D37" s="26" t="s">
        <v>24</v>
      </c>
      <c r="E37" s="27"/>
      <c r="F37" s="28"/>
      <c r="G37" s="4"/>
      <c r="H37" s="4"/>
      <c r="I37" s="4"/>
      <c r="J37" s="4"/>
      <c r="K37" s="4"/>
      <c r="L37" s="4"/>
      <c r="M37" s="4"/>
      <c r="N37" s="4"/>
      <c r="O37" s="4"/>
      <c r="P37" s="4"/>
      <c r="Q37" s="4"/>
      <c r="R37" s="4"/>
      <c r="S37" s="4"/>
      <c r="T37" s="4"/>
      <c r="U37" s="4"/>
      <c r="V37" s="4"/>
      <c r="W37" s="4"/>
      <c r="X37" s="4"/>
      <c r="Y37" s="4"/>
      <c r="Z37" s="4"/>
    </row>
    <row r="38" ht="15.75" customHeight="1">
      <c r="A38" s="29"/>
      <c r="B38" s="24" t="s">
        <v>76</v>
      </c>
      <c r="C38" s="25" t="s">
        <v>77</v>
      </c>
      <c r="D38" s="26" t="s">
        <v>24</v>
      </c>
      <c r="E38" s="27"/>
      <c r="F38" s="28"/>
      <c r="G38" s="4"/>
      <c r="H38" s="4"/>
      <c r="I38" s="4"/>
      <c r="J38" s="4"/>
      <c r="K38" s="4"/>
      <c r="L38" s="4"/>
      <c r="M38" s="4"/>
      <c r="N38" s="4"/>
      <c r="O38" s="4"/>
      <c r="P38" s="4"/>
      <c r="Q38" s="4"/>
      <c r="R38" s="4"/>
      <c r="S38" s="4"/>
      <c r="T38" s="4"/>
      <c r="U38" s="4"/>
      <c r="V38" s="4"/>
      <c r="W38" s="4"/>
      <c r="X38" s="4"/>
      <c r="Y38" s="4"/>
      <c r="Z38" s="4"/>
    </row>
    <row r="39" ht="15.75" customHeight="1">
      <c r="A39" s="29"/>
      <c r="B39" s="24" t="s">
        <v>78</v>
      </c>
      <c r="C39" s="25" t="s">
        <v>79</v>
      </c>
      <c r="D39" s="26" t="s">
        <v>24</v>
      </c>
      <c r="E39" s="27"/>
      <c r="F39" s="28"/>
      <c r="G39" s="4"/>
      <c r="H39" s="4"/>
      <c r="I39" s="4"/>
      <c r="J39" s="4"/>
      <c r="K39" s="4"/>
      <c r="L39" s="4"/>
      <c r="M39" s="4"/>
      <c r="N39" s="4"/>
      <c r="O39" s="4"/>
      <c r="P39" s="4"/>
      <c r="Q39" s="4"/>
      <c r="R39" s="4"/>
      <c r="S39" s="4"/>
      <c r="T39" s="4"/>
      <c r="U39" s="4"/>
      <c r="V39" s="4"/>
      <c r="W39" s="4"/>
      <c r="X39" s="4"/>
      <c r="Y39" s="4"/>
      <c r="Z39" s="4"/>
    </row>
    <row r="40" ht="15.75" customHeight="1">
      <c r="A40" s="30"/>
      <c r="B40" s="24" t="s">
        <v>80</v>
      </c>
      <c r="C40" s="25" t="s">
        <v>81</v>
      </c>
      <c r="D40" s="26" t="s">
        <v>24</v>
      </c>
      <c r="E40" s="27"/>
      <c r="F40" s="28"/>
      <c r="G40" s="4"/>
      <c r="H40" s="4"/>
      <c r="I40" s="4"/>
      <c r="J40" s="4"/>
      <c r="K40" s="4"/>
      <c r="L40" s="4"/>
      <c r="M40" s="4"/>
      <c r="N40" s="4"/>
      <c r="O40" s="4"/>
      <c r="P40" s="4"/>
      <c r="Q40" s="4"/>
      <c r="R40" s="4"/>
      <c r="S40" s="4"/>
      <c r="T40" s="4"/>
      <c r="U40" s="4"/>
      <c r="V40" s="4"/>
      <c r="W40" s="4"/>
      <c r="X40" s="4"/>
      <c r="Y40" s="4"/>
      <c r="Z40" s="4"/>
    </row>
    <row r="41" ht="15.75" customHeight="1">
      <c r="A41" s="23" t="s">
        <v>82</v>
      </c>
      <c r="B41" s="24" t="s">
        <v>83</v>
      </c>
      <c r="C41" s="25" t="s">
        <v>84</v>
      </c>
      <c r="D41" s="26" t="s">
        <v>24</v>
      </c>
      <c r="E41" s="27"/>
      <c r="F41" s="28"/>
      <c r="G41" s="4"/>
      <c r="H41" s="4"/>
      <c r="I41" s="4"/>
      <c r="J41" s="4"/>
      <c r="K41" s="4"/>
      <c r="L41" s="4"/>
      <c r="M41" s="4"/>
      <c r="N41" s="4"/>
      <c r="O41" s="4"/>
      <c r="P41" s="4"/>
      <c r="Q41" s="4"/>
      <c r="R41" s="4"/>
      <c r="S41" s="4"/>
      <c r="T41" s="4"/>
      <c r="U41" s="4"/>
      <c r="V41" s="4"/>
      <c r="W41" s="4"/>
      <c r="X41" s="4"/>
      <c r="Y41" s="4"/>
      <c r="Z41" s="4"/>
    </row>
    <row r="42" ht="15.75" customHeight="1">
      <c r="A42" s="29"/>
      <c r="B42" s="24" t="s">
        <v>85</v>
      </c>
      <c r="C42" s="25" t="s">
        <v>86</v>
      </c>
      <c r="D42" s="26" t="s">
        <v>24</v>
      </c>
      <c r="E42" s="27"/>
      <c r="F42" s="28"/>
      <c r="G42" s="4"/>
      <c r="H42" s="4"/>
      <c r="I42" s="4"/>
      <c r="J42" s="4"/>
      <c r="K42" s="4"/>
      <c r="L42" s="4"/>
      <c r="M42" s="4"/>
      <c r="N42" s="4"/>
      <c r="O42" s="4"/>
      <c r="P42" s="4"/>
      <c r="Q42" s="4"/>
      <c r="R42" s="4"/>
      <c r="S42" s="4"/>
      <c r="T42" s="4"/>
      <c r="U42" s="4"/>
      <c r="V42" s="4"/>
      <c r="W42" s="4"/>
      <c r="X42" s="4"/>
      <c r="Y42" s="4"/>
      <c r="Z42" s="4"/>
    </row>
    <row r="43" ht="15.75" customHeight="1">
      <c r="A43" s="29"/>
      <c r="B43" s="24" t="s">
        <v>87</v>
      </c>
      <c r="C43" s="25" t="s">
        <v>88</v>
      </c>
      <c r="D43" s="26" t="s">
        <v>24</v>
      </c>
      <c r="E43" s="27"/>
      <c r="F43" s="28"/>
      <c r="G43" s="4"/>
      <c r="H43" s="4"/>
      <c r="I43" s="4"/>
      <c r="J43" s="4"/>
      <c r="K43" s="4"/>
      <c r="L43" s="4"/>
      <c r="M43" s="4"/>
      <c r="N43" s="4"/>
      <c r="O43" s="4"/>
      <c r="P43" s="4"/>
      <c r="Q43" s="4"/>
      <c r="R43" s="4"/>
      <c r="S43" s="4"/>
      <c r="T43" s="4"/>
      <c r="U43" s="4"/>
      <c r="V43" s="4"/>
      <c r="W43" s="4"/>
      <c r="X43" s="4"/>
      <c r="Y43" s="4"/>
      <c r="Z43" s="4"/>
    </row>
    <row r="44" ht="15.75" customHeight="1">
      <c r="A44" s="29"/>
      <c r="B44" s="24" t="s">
        <v>89</v>
      </c>
      <c r="C44" s="25" t="s">
        <v>90</v>
      </c>
      <c r="D44" s="26" t="s">
        <v>24</v>
      </c>
      <c r="E44" s="27"/>
      <c r="F44" s="28"/>
      <c r="G44" s="4"/>
      <c r="H44" s="4"/>
      <c r="I44" s="4"/>
      <c r="J44" s="4"/>
      <c r="K44" s="4"/>
      <c r="L44" s="4"/>
      <c r="M44" s="4"/>
      <c r="N44" s="4"/>
      <c r="O44" s="4"/>
      <c r="P44" s="4"/>
      <c r="Q44" s="4"/>
      <c r="R44" s="4"/>
      <c r="S44" s="4"/>
      <c r="T44" s="4"/>
      <c r="U44" s="4"/>
      <c r="V44" s="4"/>
      <c r="W44" s="4"/>
      <c r="X44" s="4"/>
      <c r="Y44" s="4"/>
      <c r="Z44" s="4"/>
    </row>
    <row r="45" ht="15.75" customHeight="1">
      <c r="A45" s="29"/>
      <c r="B45" s="24" t="s">
        <v>91</v>
      </c>
      <c r="C45" s="25" t="s">
        <v>92</v>
      </c>
      <c r="D45" s="26" t="s">
        <v>24</v>
      </c>
      <c r="E45" s="27"/>
      <c r="F45" s="28"/>
      <c r="G45" s="4"/>
      <c r="H45" s="4"/>
      <c r="I45" s="4"/>
      <c r="J45" s="4"/>
      <c r="K45" s="4"/>
      <c r="L45" s="4"/>
      <c r="M45" s="4"/>
      <c r="N45" s="4"/>
      <c r="O45" s="4"/>
      <c r="P45" s="4"/>
      <c r="Q45" s="4"/>
      <c r="R45" s="4"/>
      <c r="S45" s="4"/>
      <c r="T45" s="4"/>
      <c r="U45" s="4"/>
      <c r="V45" s="4"/>
      <c r="W45" s="4"/>
      <c r="X45" s="4"/>
      <c r="Y45" s="4"/>
      <c r="Z45" s="4"/>
    </row>
    <row r="46" ht="15.75" customHeight="1">
      <c r="A46" s="29"/>
      <c r="B46" s="24" t="s">
        <v>93</v>
      </c>
      <c r="C46" s="25" t="s">
        <v>94</v>
      </c>
      <c r="D46" s="26" t="s">
        <v>24</v>
      </c>
      <c r="E46" s="27"/>
      <c r="F46" s="28"/>
      <c r="G46" s="4"/>
      <c r="H46" s="4"/>
      <c r="I46" s="4"/>
      <c r="J46" s="4"/>
      <c r="K46" s="4"/>
      <c r="L46" s="4"/>
      <c r="M46" s="4"/>
      <c r="N46" s="4"/>
      <c r="O46" s="4"/>
      <c r="P46" s="4"/>
      <c r="Q46" s="4"/>
      <c r="R46" s="4"/>
      <c r="S46" s="4"/>
      <c r="T46" s="4"/>
      <c r="U46" s="4"/>
      <c r="V46" s="4"/>
      <c r="W46" s="4"/>
      <c r="X46" s="4"/>
      <c r="Y46" s="4"/>
      <c r="Z46" s="4"/>
    </row>
    <row r="47" ht="15.75" customHeight="1">
      <c r="A47" s="29"/>
      <c r="B47" s="24" t="s">
        <v>95</v>
      </c>
      <c r="C47" s="25" t="s">
        <v>96</v>
      </c>
      <c r="D47" s="26" t="s">
        <v>24</v>
      </c>
      <c r="E47" s="27"/>
      <c r="F47" s="28"/>
      <c r="G47" s="4"/>
      <c r="H47" s="4"/>
      <c r="I47" s="4"/>
      <c r="J47" s="4"/>
      <c r="K47" s="4"/>
      <c r="L47" s="4"/>
      <c r="M47" s="4"/>
      <c r="N47" s="4"/>
      <c r="O47" s="4"/>
      <c r="P47" s="4"/>
      <c r="Q47" s="4"/>
      <c r="R47" s="4"/>
      <c r="S47" s="4"/>
      <c r="T47" s="4"/>
      <c r="U47" s="4"/>
      <c r="V47" s="4"/>
      <c r="W47" s="4"/>
      <c r="X47" s="4"/>
      <c r="Y47" s="4"/>
      <c r="Z47" s="4"/>
    </row>
    <row r="48" ht="15.75" customHeight="1">
      <c r="A48" s="30"/>
      <c r="B48" s="24" t="s">
        <v>97</v>
      </c>
      <c r="C48" s="25" t="s">
        <v>98</v>
      </c>
      <c r="D48" s="26" t="s">
        <v>24</v>
      </c>
      <c r="E48" s="27"/>
      <c r="F48" s="28"/>
      <c r="G48" s="4"/>
      <c r="H48" s="4"/>
      <c r="I48" s="4"/>
      <c r="J48" s="4"/>
      <c r="K48" s="4"/>
      <c r="L48" s="4"/>
      <c r="M48" s="4"/>
      <c r="N48" s="4"/>
      <c r="O48" s="4"/>
      <c r="P48" s="4"/>
      <c r="Q48" s="4"/>
      <c r="R48" s="4"/>
      <c r="S48" s="4"/>
      <c r="T48" s="4"/>
      <c r="U48" s="4"/>
      <c r="V48" s="4"/>
      <c r="W48" s="4"/>
      <c r="X48" s="4"/>
      <c r="Y48" s="4"/>
      <c r="Z48" s="4"/>
    </row>
    <row r="49" ht="15.75" customHeight="1">
      <c r="A49" s="23" t="s">
        <v>99</v>
      </c>
      <c r="B49" s="24" t="s">
        <v>100</v>
      </c>
      <c r="C49" s="25" t="s">
        <v>101</v>
      </c>
      <c r="D49" s="31" t="s">
        <v>51</v>
      </c>
      <c r="E49" s="27" t="s">
        <v>102</v>
      </c>
      <c r="F49" s="28"/>
      <c r="G49" s="4"/>
      <c r="H49" s="4"/>
      <c r="I49" s="4"/>
      <c r="J49" s="4"/>
      <c r="K49" s="4"/>
      <c r="L49" s="4"/>
      <c r="M49" s="4"/>
      <c r="N49" s="4"/>
      <c r="O49" s="4"/>
      <c r="P49" s="4"/>
      <c r="Q49" s="4"/>
      <c r="R49" s="4"/>
      <c r="S49" s="4"/>
      <c r="T49" s="4"/>
      <c r="U49" s="4"/>
      <c r="V49" s="4"/>
      <c r="W49" s="4"/>
      <c r="X49" s="4"/>
      <c r="Y49" s="4"/>
      <c r="Z49" s="4"/>
    </row>
    <row r="50" ht="15.75" customHeight="1">
      <c r="A50" s="30"/>
      <c r="B50" s="24" t="s">
        <v>103</v>
      </c>
      <c r="C50" s="25" t="s">
        <v>104</v>
      </c>
      <c r="D50" s="26" t="s">
        <v>51</v>
      </c>
      <c r="E50" s="27" t="s">
        <v>105</v>
      </c>
      <c r="F50" s="28"/>
      <c r="G50" s="4"/>
      <c r="H50" s="4"/>
      <c r="I50" s="4"/>
      <c r="J50" s="4"/>
      <c r="K50" s="4"/>
      <c r="L50" s="4"/>
      <c r="M50" s="4"/>
      <c r="N50" s="4"/>
      <c r="O50" s="4"/>
      <c r="P50" s="4"/>
      <c r="Q50" s="4"/>
      <c r="R50" s="4"/>
      <c r="S50" s="4"/>
      <c r="T50" s="4"/>
      <c r="U50" s="4"/>
      <c r="V50" s="4"/>
      <c r="W50" s="4"/>
      <c r="X50" s="4"/>
      <c r="Y50" s="4"/>
      <c r="Z50" s="4"/>
    </row>
    <row r="51" ht="15.75" customHeight="1">
      <c r="A51" s="23" t="s">
        <v>106</v>
      </c>
      <c r="B51" s="24" t="s">
        <v>107</v>
      </c>
      <c r="C51" s="25" t="s">
        <v>108</v>
      </c>
      <c r="D51" s="31" t="s">
        <v>51</v>
      </c>
      <c r="E51" s="27" t="s">
        <v>109</v>
      </c>
      <c r="F51" s="28"/>
      <c r="G51" s="4"/>
      <c r="H51" s="4"/>
      <c r="I51" s="4"/>
      <c r="J51" s="4"/>
      <c r="K51" s="4"/>
      <c r="L51" s="4"/>
      <c r="M51" s="4"/>
      <c r="N51" s="4"/>
      <c r="O51" s="4"/>
      <c r="P51" s="4"/>
      <c r="Q51" s="4"/>
      <c r="R51" s="4"/>
      <c r="S51" s="4"/>
      <c r="T51" s="4"/>
      <c r="U51" s="4"/>
      <c r="V51" s="4"/>
      <c r="W51" s="4"/>
      <c r="X51" s="4"/>
      <c r="Y51" s="4"/>
      <c r="Z51" s="4"/>
    </row>
    <row r="52" ht="15.75" customHeight="1">
      <c r="A52" s="29"/>
      <c r="B52" s="24" t="s">
        <v>110</v>
      </c>
      <c r="C52" s="25" t="s">
        <v>111</v>
      </c>
      <c r="D52" s="26" t="s">
        <v>24</v>
      </c>
      <c r="E52" s="27"/>
      <c r="F52" s="28"/>
      <c r="G52" s="4"/>
      <c r="H52" s="4"/>
      <c r="I52" s="4"/>
      <c r="J52" s="4"/>
      <c r="K52" s="4"/>
      <c r="L52" s="4"/>
      <c r="M52" s="4"/>
      <c r="N52" s="4"/>
      <c r="O52" s="4"/>
      <c r="P52" s="4"/>
      <c r="Q52" s="4"/>
      <c r="R52" s="4"/>
      <c r="S52" s="4"/>
      <c r="T52" s="4"/>
      <c r="U52" s="4"/>
      <c r="V52" s="4"/>
      <c r="W52" s="4"/>
      <c r="X52" s="4"/>
      <c r="Y52" s="4"/>
      <c r="Z52" s="4"/>
    </row>
    <row r="53" ht="15.75" customHeight="1">
      <c r="A53" s="29"/>
      <c r="B53" s="24" t="s">
        <v>112</v>
      </c>
      <c r="C53" s="25" t="s">
        <v>113</v>
      </c>
      <c r="D53" s="26" t="s">
        <v>51</v>
      </c>
      <c r="E53" s="27" t="s">
        <v>114</v>
      </c>
      <c r="F53" s="28"/>
      <c r="G53" s="4"/>
      <c r="H53" s="4"/>
      <c r="I53" s="4"/>
      <c r="J53" s="4"/>
      <c r="K53" s="4"/>
      <c r="L53" s="4"/>
      <c r="M53" s="4"/>
      <c r="N53" s="4"/>
      <c r="O53" s="4"/>
      <c r="P53" s="4"/>
      <c r="Q53" s="4"/>
      <c r="R53" s="4"/>
      <c r="S53" s="4"/>
      <c r="T53" s="4"/>
      <c r="U53" s="4"/>
      <c r="V53" s="4"/>
      <c r="W53" s="4"/>
      <c r="X53" s="4"/>
      <c r="Y53" s="4"/>
      <c r="Z53" s="4"/>
    </row>
    <row r="54" ht="15.75" customHeight="1">
      <c r="A54" s="29"/>
      <c r="B54" s="24" t="s">
        <v>115</v>
      </c>
      <c r="C54" s="25" t="s">
        <v>116</v>
      </c>
      <c r="D54" s="26" t="s">
        <v>24</v>
      </c>
      <c r="E54" s="27"/>
      <c r="F54" s="28"/>
      <c r="G54" s="4"/>
      <c r="H54" s="4"/>
      <c r="I54" s="4"/>
      <c r="J54" s="4"/>
      <c r="K54" s="4"/>
      <c r="L54" s="4"/>
      <c r="M54" s="4"/>
      <c r="N54" s="4"/>
      <c r="O54" s="4"/>
      <c r="P54" s="4"/>
      <c r="Q54" s="4"/>
      <c r="R54" s="4"/>
      <c r="S54" s="4"/>
      <c r="T54" s="4"/>
      <c r="U54" s="4"/>
      <c r="V54" s="4"/>
      <c r="W54" s="4"/>
      <c r="X54" s="4"/>
      <c r="Y54" s="4"/>
      <c r="Z54" s="4"/>
    </row>
    <row r="55" ht="15.75" customHeight="1">
      <c r="A55" s="30"/>
      <c r="B55" s="24" t="s">
        <v>117</v>
      </c>
      <c r="C55" s="25" t="s">
        <v>118</v>
      </c>
      <c r="D55" s="26" t="s">
        <v>24</v>
      </c>
      <c r="E55" s="27"/>
      <c r="F55" s="28"/>
      <c r="G55" s="4"/>
      <c r="H55" s="4"/>
      <c r="I55" s="4"/>
      <c r="J55" s="4"/>
      <c r="K55" s="4"/>
      <c r="L55" s="4"/>
      <c r="M55" s="4"/>
      <c r="N55" s="4"/>
      <c r="O55" s="4"/>
      <c r="P55" s="4"/>
      <c r="Q55" s="4"/>
      <c r="R55" s="4"/>
      <c r="S55" s="4"/>
      <c r="T55" s="4"/>
      <c r="U55" s="4"/>
      <c r="V55" s="4"/>
      <c r="W55" s="4"/>
      <c r="X55" s="4"/>
      <c r="Y55" s="4"/>
      <c r="Z55" s="4"/>
    </row>
    <row r="56" ht="15.75" customHeight="1">
      <c r="A56" s="23" t="s">
        <v>119</v>
      </c>
      <c r="B56" s="24" t="s">
        <v>120</v>
      </c>
      <c r="C56" s="25" t="s">
        <v>121</v>
      </c>
      <c r="D56" s="26" t="s">
        <v>24</v>
      </c>
      <c r="E56" s="27"/>
      <c r="F56" s="28"/>
      <c r="G56" s="4"/>
      <c r="H56" s="4"/>
      <c r="I56" s="4"/>
      <c r="J56" s="4"/>
      <c r="K56" s="4"/>
      <c r="L56" s="4"/>
      <c r="M56" s="4"/>
      <c r="N56" s="4"/>
      <c r="O56" s="4"/>
      <c r="P56" s="4"/>
      <c r="Q56" s="4"/>
      <c r="R56" s="4"/>
      <c r="S56" s="4"/>
      <c r="T56" s="4"/>
      <c r="U56" s="4"/>
      <c r="V56" s="4"/>
      <c r="W56" s="4"/>
      <c r="X56" s="4"/>
      <c r="Y56" s="4"/>
      <c r="Z56" s="4"/>
    </row>
    <row r="57" ht="15.75" customHeight="1">
      <c r="A57" s="29"/>
      <c r="B57" s="24" t="s">
        <v>122</v>
      </c>
      <c r="C57" s="25" t="s">
        <v>123</v>
      </c>
      <c r="D57" s="26" t="s">
        <v>51</v>
      </c>
      <c r="E57" s="27" t="s">
        <v>124</v>
      </c>
      <c r="F57" s="28"/>
      <c r="G57" s="4"/>
      <c r="H57" s="4"/>
      <c r="I57" s="4"/>
      <c r="J57" s="4"/>
      <c r="K57" s="4"/>
      <c r="L57" s="4"/>
      <c r="M57" s="4"/>
      <c r="N57" s="4"/>
      <c r="O57" s="4"/>
      <c r="P57" s="4"/>
      <c r="Q57" s="4"/>
      <c r="R57" s="4"/>
      <c r="S57" s="4"/>
      <c r="T57" s="4"/>
      <c r="U57" s="4"/>
      <c r="V57" s="4"/>
      <c r="W57" s="4"/>
      <c r="X57" s="4"/>
      <c r="Y57" s="4"/>
      <c r="Z57" s="4"/>
    </row>
    <row r="58" ht="15.75" customHeight="1">
      <c r="A58" s="29"/>
      <c r="B58" s="24" t="s">
        <v>125</v>
      </c>
      <c r="C58" s="25" t="s">
        <v>126</v>
      </c>
      <c r="D58" s="26" t="s">
        <v>24</v>
      </c>
      <c r="E58" s="27"/>
      <c r="F58" s="28"/>
      <c r="G58" s="4"/>
      <c r="H58" s="4"/>
      <c r="I58" s="4"/>
      <c r="J58" s="4"/>
      <c r="K58" s="4"/>
      <c r="L58" s="4"/>
      <c r="M58" s="4"/>
      <c r="N58" s="4"/>
      <c r="O58" s="4"/>
      <c r="P58" s="4"/>
      <c r="Q58" s="4"/>
      <c r="R58" s="4"/>
      <c r="S58" s="4"/>
      <c r="T58" s="4"/>
      <c r="U58" s="4"/>
      <c r="V58" s="4"/>
      <c r="W58" s="4"/>
      <c r="X58" s="4"/>
      <c r="Y58" s="4"/>
      <c r="Z58" s="4"/>
    </row>
    <row r="59" ht="15.75" customHeight="1">
      <c r="A59" s="29"/>
      <c r="B59" s="24" t="s">
        <v>127</v>
      </c>
      <c r="C59" s="25" t="s">
        <v>128</v>
      </c>
      <c r="D59" s="26" t="s">
        <v>24</v>
      </c>
      <c r="E59" s="27"/>
      <c r="F59" s="28"/>
      <c r="G59" s="4"/>
      <c r="H59" s="4"/>
      <c r="I59" s="4"/>
      <c r="J59" s="4"/>
      <c r="K59" s="4"/>
      <c r="L59" s="4"/>
      <c r="M59" s="4"/>
      <c r="N59" s="4"/>
      <c r="O59" s="4"/>
      <c r="P59" s="4"/>
      <c r="Q59" s="4"/>
      <c r="R59" s="4"/>
      <c r="S59" s="4"/>
      <c r="T59" s="4"/>
      <c r="U59" s="4"/>
      <c r="V59" s="4"/>
      <c r="W59" s="4"/>
      <c r="X59" s="4"/>
      <c r="Y59" s="4"/>
      <c r="Z59" s="4"/>
    </row>
    <row r="60" ht="15.75" customHeight="1">
      <c r="A60" s="29"/>
      <c r="B60" s="24" t="s">
        <v>129</v>
      </c>
      <c r="C60" s="25" t="s">
        <v>130</v>
      </c>
      <c r="D60" s="26" t="s">
        <v>24</v>
      </c>
      <c r="E60" s="27"/>
      <c r="F60" s="28"/>
      <c r="G60" s="4"/>
      <c r="H60" s="4"/>
      <c r="I60" s="4"/>
      <c r="J60" s="4"/>
      <c r="K60" s="4"/>
      <c r="L60" s="4"/>
      <c r="M60" s="4"/>
      <c r="N60" s="4"/>
      <c r="O60" s="4"/>
      <c r="P60" s="4"/>
      <c r="Q60" s="4"/>
      <c r="R60" s="4"/>
      <c r="S60" s="4"/>
      <c r="T60" s="4"/>
      <c r="U60" s="4"/>
      <c r="V60" s="4"/>
      <c r="W60" s="4"/>
      <c r="X60" s="4"/>
      <c r="Y60" s="4"/>
      <c r="Z60" s="4"/>
    </row>
    <row r="61" ht="15.75" customHeight="1">
      <c r="A61" s="29"/>
      <c r="B61" s="24" t="s">
        <v>131</v>
      </c>
      <c r="C61" s="25" t="s">
        <v>132</v>
      </c>
      <c r="D61" s="26" t="s">
        <v>24</v>
      </c>
      <c r="E61" s="27"/>
      <c r="F61" s="28"/>
      <c r="G61" s="4"/>
      <c r="H61" s="4"/>
      <c r="I61" s="4"/>
      <c r="J61" s="4"/>
      <c r="K61" s="4"/>
      <c r="L61" s="4"/>
      <c r="M61" s="4"/>
      <c r="N61" s="4"/>
      <c r="O61" s="4"/>
      <c r="P61" s="4"/>
      <c r="Q61" s="4"/>
      <c r="R61" s="4"/>
      <c r="S61" s="4"/>
      <c r="T61" s="4"/>
      <c r="U61" s="4"/>
      <c r="V61" s="4"/>
      <c r="W61" s="4"/>
      <c r="X61" s="4"/>
      <c r="Y61" s="4"/>
      <c r="Z61" s="4"/>
    </row>
    <row r="62" ht="15.75" customHeight="1">
      <c r="A62" s="29"/>
      <c r="B62" s="24" t="s">
        <v>133</v>
      </c>
      <c r="C62" s="25" t="s">
        <v>134</v>
      </c>
      <c r="D62" s="26" t="s">
        <v>24</v>
      </c>
      <c r="E62" s="27"/>
      <c r="F62" s="28"/>
      <c r="G62" s="4"/>
      <c r="H62" s="4"/>
      <c r="I62" s="4"/>
      <c r="J62" s="4"/>
      <c r="K62" s="4"/>
      <c r="L62" s="4"/>
      <c r="M62" s="4"/>
      <c r="N62" s="4"/>
      <c r="O62" s="4"/>
      <c r="P62" s="4"/>
      <c r="Q62" s="4"/>
      <c r="R62" s="4"/>
      <c r="S62" s="4"/>
      <c r="T62" s="4"/>
      <c r="U62" s="4"/>
      <c r="V62" s="4"/>
      <c r="W62" s="4"/>
      <c r="X62" s="4"/>
      <c r="Y62" s="4"/>
      <c r="Z62" s="4"/>
    </row>
    <row r="63" ht="15.75" customHeight="1">
      <c r="A63" s="29"/>
      <c r="B63" s="24" t="s">
        <v>135</v>
      </c>
      <c r="C63" s="25" t="s">
        <v>136</v>
      </c>
      <c r="D63" s="26" t="s">
        <v>24</v>
      </c>
      <c r="E63" s="27"/>
      <c r="F63" s="28"/>
      <c r="G63" s="4"/>
      <c r="H63" s="4"/>
      <c r="I63" s="4"/>
      <c r="J63" s="4"/>
      <c r="K63" s="4"/>
      <c r="L63" s="4"/>
      <c r="M63" s="4"/>
      <c r="N63" s="4"/>
      <c r="O63" s="4"/>
      <c r="P63" s="4"/>
      <c r="Q63" s="4"/>
      <c r="R63" s="4"/>
      <c r="S63" s="4"/>
      <c r="T63" s="4"/>
      <c r="U63" s="4"/>
      <c r="V63" s="4"/>
      <c r="W63" s="4"/>
      <c r="X63" s="4"/>
      <c r="Y63" s="4"/>
      <c r="Z63" s="4"/>
    </row>
    <row r="64" ht="15.75" customHeight="1">
      <c r="A64" s="29"/>
      <c r="B64" s="24" t="s">
        <v>137</v>
      </c>
      <c r="C64" s="25" t="s">
        <v>138</v>
      </c>
      <c r="D64" s="26" t="s">
        <v>24</v>
      </c>
      <c r="E64" s="27"/>
      <c r="F64" s="28"/>
      <c r="G64" s="4"/>
      <c r="H64" s="4"/>
      <c r="I64" s="4"/>
      <c r="J64" s="4"/>
      <c r="K64" s="4"/>
      <c r="L64" s="4"/>
      <c r="M64" s="4"/>
      <c r="N64" s="4"/>
      <c r="O64" s="4"/>
      <c r="P64" s="4"/>
      <c r="Q64" s="4"/>
      <c r="R64" s="4"/>
      <c r="S64" s="4"/>
      <c r="T64" s="4"/>
      <c r="U64" s="4"/>
      <c r="V64" s="4"/>
      <c r="W64" s="4"/>
      <c r="X64" s="4"/>
      <c r="Y64" s="4"/>
      <c r="Z64" s="4"/>
    </row>
    <row r="65" ht="15.75" customHeight="1">
      <c r="A65" s="30"/>
      <c r="B65" s="24" t="s">
        <v>139</v>
      </c>
      <c r="C65" s="25" t="s">
        <v>140</v>
      </c>
      <c r="D65" s="26" t="s">
        <v>24</v>
      </c>
      <c r="E65" s="27"/>
      <c r="F65" s="28"/>
      <c r="G65" s="4"/>
      <c r="H65" s="4"/>
      <c r="I65" s="4"/>
      <c r="J65" s="4"/>
      <c r="K65" s="4"/>
      <c r="L65" s="4"/>
      <c r="M65" s="4"/>
      <c r="N65" s="4"/>
      <c r="O65" s="4"/>
      <c r="P65" s="4"/>
      <c r="Q65" s="4"/>
      <c r="R65" s="4"/>
      <c r="S65" s="4"/>
      <c r="T65" s="4"/>
      <c r="U65" s="4"/>
      <c r="V65" s="4"/>
      <c r="W65" s="4"/>
      <c r="X65" s="4"/>
      <c r="Y65" s="4"/>
      <c r="Z65" s="4"/>
    </row>
    <row r="66" ht="15.75" customHeight="1">
      <c r="A66" s="23" t="s">
        <v>141</v>
      </c>
      <c r="B66" s="24" t="s">
        <v>142</v>
      </c>
      <c r="C66" s="25" t="s">
        <v>143</v>
      </c>
      <c r="D66" s="31" t="s">
        <v>51</v>
      </c>
      <c r="E66" s="27" t="s">
        <v>144</v>
      </c>
      <c r="F66" s="28"/>
      <c r="G66" s="4"/>
      <c r="H66" s="4"/>
      <c r="I66" s="4"/>
      <c r="J66" s="4"/>
      <c r="K66" s="4"/>
      <c r="L66" s="4"/>
      <c r="M66" s="4"/>
      <c r="N66" s="4"/>
      <c r="O66" s="4"/>
      <c r="P66" s="4"/>
      <c r="Q66" s="4"/>
      <c r="R66" s="4"/>
      <c r="S66" s="4"/>
      <c r="T66" s="4"/>
      <c r="U66" s="4"/>
      <c r="V66" s="4"/>
      <c r="W66" s="4"/>
      <c r="X66" s="4"/>
      <c r="Y66" s="4"/>
      <c r="Z66" s="4"/>
    </row>
    <row r="67" ht="15.75" customHeight="1">
      <c r="A67" s="29"/>
      <c r="B67" s="24" t="s">
        <v>145</v>
      </c>
      <c r="C67" s="25" t="s">
        <v>146</v>
      </c>
      <c r="D67" s="26" t="s">
        <v>24</v>
      </c>
      <c r="E67" s="27"/>
      <c r="F67" s="28"/>
      <c r="G67" s="4"/>
      <c r="H67" s="4"/>
      <c r="I67" s="4"/>
      <c r="J67" s="4"/>
      <c r="K67" s="4"/>
      <c r="L67" s="4"/>
      <c r="M67" s="4"/>
      <c r="N67" s="4"/>
      <c r="O67" s="4"/>
      <c r="P67" s="4"/>
      <c r="Q67" s="4"/>
      <c r="R67" s="4"/>
      <c r="S67" s="4"/>
      <c r="T67" s="4"/>
      <c r="U67" s="4"/>
      <c r="V67" s="4"/>
      <c r="W67" s="4"/>
      <c r="X67" s="4"/>
      <c r="Y67" s="4"/>
      <c r="Z67" s="4"/>
    </row>
    <row r="68" ht="15.75" customHeight="1">
      <c r="A68" s="29"/>
      <c r="B68" s="24" t="s">
        <v>147</v>
      </c>
      <c r="C68" s="25" t="s">
        <v>148</v>
      </c>
      <c r="D68" s="26" t="s">
        <v>24</v>
      </c>
      <c r="E68" s="27"/>
      <c r="F68" s="28"/>
      <c r="G68" s="4"/>
      <c r="H68" s="4"/>
      <c r="I68" s="4"/>
      <c r="J68" s="4"/>
      <c r="K68" s="4"/>
      <c r="L68" s="4"/>
      <c r="M68" s="4"/>
      <c r="N68" s="4"/>
      <c r="O68" s="4"/>
      <c r="P68" s="4"/>
      <c r="Q68" s="4"/>
      <c r="R68" s="4"/>
      <c r="S68" s="4"/>
      <c r="T68" s="4"/>
      <c r="U68" s="4"/>
      <c r="V68" s="4"/>
      <c r="W68" s="4"/>
      <c r="X68" s="4"/>
      <c r="Y68" s="4"/>
      <c r="Z68" s="4"/>
    </row>
    <row r="69" ht="15.75" customHeight="1">
      <c r="A69" s="30"/>
      <c r="B69" s="24" t="s">
        <v>149</v>
      </c>
      <c r="C69" s="25" t="s">
        <v>150</v>
      </c>
      <c r="D69" s="26" t="s">
        <v>24</v>
      </c>
      <c r="E69" s="27"/>
      <c r="F69" s="28"/>
      <c r="G69" s="4"/>
      <c r="H69" s="4"/>
      <c r="I69" s="4"/>
      <c r="J69" s="4"/>
      <c r="K69" s="4"/>
      <c r="L69" s="4"/>
      <c r="M69" s="4"/>
      <c r="N69" s="4"/>
      <c r="O69" s="4"/>
      <c r="P69" s="4"/>
      <c r="Q69" s="4"/>
      <c r="R69" s="4"/>
      <c r="S69" s="4"/>
      <c r="T69" s="4"/>
      <c r="U69" s="4"/>
      <c r="V69" s="4"/>
      <c r="W69" s="4"/>
      <c r="X69" s="4"/>
      <c r="Y69" s="4"/>
      <c r="Z69" s="4"/>
    </row>
    <row r="70" ht="15.75" customHeight="1">
      <c r="A70" s="23" t="s">
        <v>151</v>
      </c>
      <c r="B70" s="24" t="s">
        <v>152</v>
      </c>
      <c r="C70" s="25" t="s">
        <v>153</v>
      </c>
      <c r="D70" s="26" t="s">
        <v>51</v>
      </c>
      <c r="E70" s="27" t="s">
        <v>154</v>
      </c>
      <c r="F70" s="28"/>
      <c r="G70" s="4"/>
      <c r="H70" s="4"/>
      <c r="I70" s="4"/>
      <c r="J70" s="4"/>
      <c r="K70" s="4"/>
      <c r="L70" s="4"/>
      <c r="M70" s="4"/>
      <c r="N70" s="4"/>
      <c r="O70" s="4"/>
      <c r="P70" s="4"/>
      <c r="Q70" s="4"/>
      <c r="R70" s="4"/>
      <c r="S70" s="4"/>
      <c r="T70" s="4"/>
      <c r="U70" s="4"/>
      <c r="V70" s="4"/>
      <c r="W70" s="4"/>
      <c r="X70" s="4"/>
      <c r="Y70" s="4"/>
      <c r="Z70" s="4"/>
    </row>
    <row r="71" ht="15.75" customHeight="1">
      <c r="A71" s="29"/>
      <c r="B71" s="24" t="s">
        <v>155</v>
      </c>
      <c r="C71" s="25" t="s">
        <v>156</v>
      </c>
      <c r="D71" s="26" t="s">
        <v>51</v>
      </c>
      <c r="E71" s="27" t="s">
        <v>157</v>
      </c>
      <c r="F71" s="28"/>
      <c r="G71" s="4"/>
      <c r="H71" s="4"/>
      <c r="I71" s="4"/>
      <c r="J71" s="4"/>
      <c r="K71" s="4"/>
      <c r="L71" s="4"/>
      <c r="M71" s="4"/>
      <c r="N71" s="4"/>
      <c r="O71" s="4"/>
      <c r="P71" s="4"/>
      <c r="Q71" s="4"/>
      <c r="R71" s="4"/>
      <c r="S71" s="4"/>
      <c r="T71" s="4"/>
      <c r="U71" s="4"/>
      <c r="V71" s="4"/>
      <c r="W71" s="4"/>
      <c r="X71" s="4"/>
      <c r="Y71" s="4"/>
      <c r="Z71" s="4"/>
    </row>
    <row r="72" ht="15.75" customHeight="1">
      <c r="A72" s="29"/>
      <c r="B72" s="24" t="s">
        <v>158</v>
      </c>
      <c r="C72" s="25" t="s">
        <v>159</v>
      </c>
      <c r="D72" s="26" t="s">
        <v>51</v>
      </c>
      <c r="E72" s="27" t="s">
        <v>160</v>
      </c>
      <c r="F72" s="28"/>
      <c r="G72" s="4"/>
      <c r="H72" s="4"/>
      <c r="I72" s="4"/>
      <c r="J72" s="4"/>
      <c r="K72" s="4"/>
      <c r="L72" s="4"/>
      <c r="M72" s="4"/>
      <c r="N72" s="4"/>
      <c r="O72" s="4"/>
      <c r="P72" s="4"/>
      <c r="Q72" s="4"/>
      <c r="R72" s="4"/>
      <c r="S72" s="4"/>
      <c r="T72" s="4"/>
      <c r="U72" s="4"/>
      <c r="V72" s="4"/>
      <c r="W72" s="4"/>
      <c r="X72" s="4"/>
      <c r="Y72" s="4"/>
      <c r="Z72" s="4"/>
    </row>
    <row r="73" ht="15.75" customHeight="1">
      <c r="A73" s="29"/>
      <c r="B73" s="24" t="s">
        <v>161</v>
      </c>
      <c r="C73" s="25" t="s">
        <v>162</v>
      </c>
      <c r="D73" s="26" t="s">
        <v>51</v>
      </c>
      <c r="E73" s="27" t="s">
        <v>163</v>
      </c>
      <c r="F73" s="28"/>
      <c r="G73" s="4"/>
      <c r="H73" s="4"/>
      <c r="I73" s="4"/>
      <c r="J73" s="4"/>
      <c r="K73" s="4"/>
      <c r="L73" s="4"/>
      <c r="M73" s="4"/>
      <c r="N73" s="4"/>
      <c r="O73" s="4"/>
      <c r="P73" s="4"/>
      <c r="Q73" s="4"/>
      <c r="R73" s="4"/>
      <c r="S73" s="4"/>
      <c r="T73" s="4"/>
      <c r="U73" s="4"/>
      <c r="V73" s="4"/>
      <c r="W73" s="4"/>
      <c r="X73" s="4"/>
      <c r="Y73" s="4"/>
      <c r="Z73" s="4"/>
    </row>
    <row r="74" ht="15.75" customHeight="1">
      <c r="A74" s="29"/>
      <c r="B74" s="24" t="s">
        <v>164</v>
      </c>
      <c r="C74" s="25" t="s">
        <v>165</v>
      </c>
      <c r="D74" s="26" t="s">
        <v>51</v>
      </c>
      <c r="E74" s="27" t="s">
        <v>166</v>
      </c>
      <c r="F74" s="28"/>
      <c r="G74" s="4"/>
      <c r="H74" s="4"/>
      <c r="I74" s="4"/>
      <c r="J74" s="4"/>
      <c r="K74" s="4"/>
      <c r="L74" s="4"/>
      <c r="M74" s="4"/>
      <c r="N74" s="4"/>
      <c r="O74" s="4"/>
      <c r="P74" s="4"/>
      <c r="Q74" s="4"/>
      <c r="R74" s="4"/>
      <c r="S74" s="4"/>
      <c r="T74" s="4"/>
      <c r="U74" s="4"/>
      <c r="V74" s="4"/>
      <c r="W74" s="4"/>
      <c r="X74" s="4"/>
      <c r="Y74" s="4"/>
      <c r="Z74" s="4"/>
    </row>
    <row r="75" ht="15.75" customHeight="1">
      <c r="A75" s="29"/>
      <c r="B75" s="24" t="s">
        <v>167</v>
      </c>
      <c r="C75" s="25" t="s">
        <v>168</v>
      </c>
      <c r="D75" s="26" t="s">
        <v>24</v>
      </c>
      <c r="E75" s="27"/>
      <c r="F75" s="28"/>
      <c r="G75" s="4"/>
      <c r="H75" s="4"/>
      <c r="I75" s="4"/>
      <c r="J75" s="4"/>
      <c r="K75" s="4"/>
      <c r="L75" s="4"/>
      <c r="M75" s="4"/>
      <c r="N75" s="4"/>
      <c r="O75" s="4"/>
      <c r="P75" s="4"/>
      <c r="Q75" s="4"/>
      <c r="R75" s="4"/>
      <c r="S75" s="4"/>
      <c r="T75" s="4"/>
      <c r="U75" s="4"/>
      <c r="V75" s="4"/>
      <c r="W75" s="4"/>
      <c r="X75" s="4"/>
      <c r="Y75" s="4"/>
      <c r="Z75" s="4"/>
    </row>
    <row r="76" ht="15.75" customHeight="1">
      <c r="A76" s="29"/>
      <c r="B76" s="24" t="s">
        <v>169</v>
      </c>
      <c r="C76" s="25" t="s">
        <v>170</v>
      </c>
      <c r="D76" s="26" t="s">
        <v>24</v>
      </c>
      <c r="E76" s="27"/>
      <c r="F76" s="28"/>
      <c r="G76" s="4"/>
      <c r="H76" s="4"/>
      <c r="I76" s="4"/>
      <c r="J76" s="4"/>
      <c r="K76" s="4"/>
      <c r="L76" s="4"/>
      <c r="M76" s="4"/>
      <c r="N76" s="4"/>
      <c r="O76" s="4"/>
      <c r="P76" s="4"/>
      <c r="Q76" s="4"/>
      <c r="R76" s="4"/>
      <c r="S76" s="4"/>
      <c r="T76" s="4"/>
      <c r="U76" s="4"/>
      <c r="V76" s="4"/>
      <c r="W76" s="4"/>
      <c r="X76" s="4"/>
      <c r="Y76" s="4"/>
      <c r="Z76" s="4"/>
    </row>
    <row r="77" ht="15.75" customHeight="1">
      <c r="A77" s="29"/>
      <c r="B77" s="24" t="s">
        <v>171</v>
      </c>
      <c r="C77" s="25" t="s">
        <v>172</v>
      </c>
      <c r="D77" s="26" t="s">
        <v>24</v>
      </c>
      <c r="E77" s="27"/>
      <c r="F77" s="28"/>
      <c r="G77" s="4"/>
      <c r="H77" s="4"/>
      <c r="I77" s="4"/>
      <c r="J77" s="4"/>
      <c r="K77" s="4"/>
      <c r="L77" s="4"/>
      <c r="M77" s="4"/>
      <c r="N77" s="4"/>
      <c r="O77" s="4"/>
      <c r="P77" s="4"/>
      <c r="Q77" s="4"/>
      <c r="R77" s="4"/>
      <c r="S77" s="4"/>
      <c r="T77" s="4"/>
      <c r="U77" s="4"/>
      <c r="V77" s="4"/>
      <c r="W77" s="4"/>
      <c r="X77" s="4"/>
      <c r="Y77" s="4"/>
      <c r="Z77" s="4"/>
    </row>
    <row r="78" ht="15.75" customHeight="1">
      <c r="A78" s="29"/>
      <c r="B78" s="24" t="s">
        <v>173</v>
      </c>
      <c r="C78" s="25" t="s">
        <v>174</v>
      </c>
      <c r="D78" s="26" t="s">
        <v>24</v>
      </c>
      <c r="E78" s="27"/>
      <c r="F78" s="28"/>
      <c r="G78" s="4"/>
      <c r="H78" s="4"/>
      <c r="I78" s="4"/>
      <c r="J78" s="4"/>
      <c r="K78" s="4"/>
      <c r="L78" s="4"/>
      <c r="M78" s="4"/>
      <c r="N78" s="4"/>
      <c r="O78" s="4"/>
      <c r="P78" s="4"/>
      <c r="Q78" s="4"/>
      <c r="R78" s="4"/>
      <c r="S78" s="4"/>
      <c r="T78" s="4"/>
      <c r="U78" s="4"/>
      <c r="V78" s="4"/>
      <c r="W78" s="4"/>
      <c r="X78" s="4"/>
      <c r="Y78" s="4"/>
      <c r="Z78" s="4"/>
    </row>
    <row r="79" ht="15.75" customHeight="1">
      <c r="A79" s="29"/>
      <c r="B79" s="24" t="s">
        <v>175</v>
      </c>
      <c r="C79" s="25" t="s">
        <v>176</v>
      </c>
      <c r="D79" s="26" t="s">
        <v>24</v>
      </c>
      <c r="E79" s="27"/>
      <c r="F79" s="28"/>
      <c r="G79" s="4"/>
      <c r="H79" s="4"/>
      <c r="I79" s="4"/>
      <c r="J79" s="4"/>
      <c r="K79" s="4"/>
      <c r="L79" s="4"/>
      <c r="M79" s="4"/>
      <c r="N79" s="4"/>
      <c r="O79" s="4"/>
      <c r="P79" s="4"/>
      <c r="Q79" s="4"/>
      <c r="R79" s="4"/>
      <c r="S79" s="4"/>
      <c r="T79" s="4"/>
      <c r="U79" s="4"/>
      <c r="V79" s="4"/>
      <c r="W79" s="4"/>
      <c r="X79" s="4"/>
      <c r="Y79" s="4"/>
      <c r="Z79" s="4"/>
    </row>
    <row r="80" ht="15.75" customHeight="1">
      <c r="A80" s="29"/>
      <c r="B80" s="24" t="s">
        <v>177</v>
      </c>
      <c r="C80" s="25" t="s">
        <v>178</v>
      </c>
      <c r="D80" s="26" t="s">
        <v>51</v>
      </c>
      <c r="E80" s="27" t="s">
        <v>179</v>
      </c>
      <c r="F80" s="28"/>
      <c r="G80" s="4"/>
      <c r="H80" s="4"/>
      <c r="I80" s="4"/>
      <c r="J80" s="4"/>
      <c r="K80" s="4"/>
      <c r="L80" s="4"/>
      <c r="M80" s="4"/>
      <c r="N80" s="4"/>
      <c r="O80" s="4"/>
      <c r="P80" s="4"/>
      <c r="Q80" s="4"/>
      <c r="R80" s="4"/>
      <c r="S80" s="4"/>
      <c r="T80" s="4"/>
      <c r="U80" s="4"/>
      <c r="V80" s="4"/>
      <c r="W80" s="4"/>
      <c r="X80" s="4"/>
      <c r="Y80" s="4"/>
      <c r="Z80" s="4"/>
    </row>
    <row r="81" ht="15.75" customHeight="1">
      <c r="A81" s="29"/>
      <c r="B81" s="24" t="s">
        <v>180</v>
      </c>
      <c r="C81" s="25" t="s">
        <v>181</v>
      </c>
      <c r="D81" s="26" t="s">
        <v>51</v>
      </c>
      <c r="E81" s="27" t="s">
        <v>182</v>
      </c>
      <c r="F81" s="28"/>
      <c r="G81" s="4"/>
      <c r="H81" s="4"/>
      <c r="I81" s="4"/>
      <c r="J81" s="4"/>
      <c r="K81" s="4"/>
      <c r="L81" s="4"/>
      <c r="M81" s="4"/>
      <c r="N81" s="4"/>
      <c r="O81" s="4"/>
      <c r="P81" s="4"/>
      <c r="Q81" s="4"/>
      <c r="R81" s="4"/>
      <c r="S81" s="4"/>
      <c r="T81" s="4"/>
      <c r="U81" s="4"/>
      <c r="V81" s="4"/>
      <c r="W81" s="4"/>
      <c r="X81" s="4"/>
      <c r="Y81" s="4"/>
      <c r="Z81" s="4"/>
    </row>
    <row r="82" ht="15.75" customHeight="1">
      <c r="A82" s="29"/>
      <c r="B82" s="24" t="s">
        <v>183</v>
      </c>
      <c r="C82" s="25" t="s">
        <v>184</v>
      </c>
      <c r="D82" s="26" t="s">
        <v>24</v>
      </c>
      <c r="E82" s="27"/>
      <c r="F82" s="28"/>
      <c r="G82" s="4"/>
      <c r="H82" s="4"/>
      <c r="I82" s="4"/>
      <c r="J82" s="4"/>
      <c r="K82" s="4"/>
      <c r="L82" s="4"/>
      <c r="M82" s="4"/>
      <c r="N82" s="4"/>
      <c r="O82" s="4"/>
      <c r="P82" s="4"/>
      <c r="Q82" s="4"/>
      <c r="R82" s="4"/>
      <c r="S82" s="4"/>
      <c r="T82" s="4"/>
      <c r="U82" s="4"/>
      <c r="V82" s="4"/>
      <c r="W82" s="4"/>
      <c r="X82" s="4"/>
      <c r="Y82" s="4"/>
      <c r="Z82" s="4"/>
    </row>
    <row r="83" ht="15.75" customHeight="1">
      <c r="A83" s="30"/>
      <c r="B83" s="24" t="s">
        <v>185</v>
      </c>
      <c r="C83" s="25" t="s">
        <v>186</v>
      </c>
      <c r="D83" s="26" t="s">
        <v>24</v>
      </c>
      <c r="E83" s="27"/>
      <c r="F83" s="28"/>
      <c r="G83" s="4"/>
      <c r="H83" s="4"/>
      <c r="I83" s="4"/>
      <c r="J83" s="4"/>
      <c r="K83" s="4"/>
      <c r="L83" s="4"/>
      <c r="M83" s="4"/>
      <c r="N83" s="4"/>
      <c r="O83" s="4"/>
      <c r="P83" s="4"/>
      <c r="Q83" s="4"/>
      <c r="R83" s="4"/>
      <c r="S83" s="4"/>
      <c r="T83" s="4"/>
      <c r="U83" s="4"/>
      <c r="V83" s="4"/>
      <c r="W83" s="4"/>
      <c r="X83" s="4"/>
      <c r="Y83" s="4"/>
      <c r="Z83" s="4"/>
    </row>
    <row r="84" ht="15.75" customHeight="1">
      <c r="A84" s="23" t="s">
        <v>187</v>
      </c>
      <c r="B84" s="24" t="s">
        <v>188</v>
      </c>
      <c r="C84" s="25" t="s">
        <v>189</v>
      </c>
      <c r="D84" s="26" t="s">
        <v>24</v>
      </c>
      <c r="E84" s="27"/>
      <c r="F84" s="28"/>
      <c r="G84" s="4"/>
      <c r="H84" s="4"/>
      <c r="I84" s="4"/>
      <c r="J84" s="4"/>
      <c r="K84" s="4"/>
      <c r="L84" s="4"/>
      <c r="M84" s="4"/>
      <c r="N84" s="4"/>
      <c r="O84" s="4"/>
      <c r="P84" s="4"/>
      <c r="Q84" s="4"/>
      <c r="R84" s="4"/>
      <c r="S84" s="4"/>
      <c r="T84" s="4"/>
      <c r="U84" s="4"/>
      <c r="V84" s="4"/>
      <c r="W84" s="4"/>
      <c r="X84" s="4"/>
      <c r="Y84" s="4"/>
      <c r="Z84" s="4"/>
    </row>
    <row r="85" ht="15.75" customHeight="1">
      <c r="A85" s="29"/>
      <c r="B85" s="24" t="s">
        <v>190</v>
      </c>
      <c r="C85" s="25" t="s">
        <v>191</v>
      </c>
      <c r="D85" s="26" t="s">
        <v>24</v>
      </c>
      <c r="E85" s="27"/>
      <c r="F85" s="28"/>
      <c r="G85" s="4"/>
      <c r="H85" s="4"/>
      <c r="I85" s="4"/>
      <c r="J85" s="4"/>
      <c r="K85" s="4"/>
      <c r="L85" s="4"/>
      <c r="M85" s="4"/>
      <c r="N85" s="4"/>
      <c r="O85" s="4"/>
      <c r="P85" s="4"/>
      <c r="Q85" s="4"/>
      <c r="R85" s="4"/>
      <c r="S85" s="4"/>
      <c r="T85" s="4"/>
      <c r="U85" s="4"/>
      <c r="V85" s="4"/>
      <c r="W85" s="4"/>
      <c r="X85" s="4"/>
      <c r="Y85" s="4"/>
      <c r="Z85" s="4"/>
    </row>
    <row r="86" ht="15.75" customHeight="1">
      <c r="A86" s="29"/>
      <c r="B86" s="24" t="s">
        <v>192</v>
      </c>
      <c r="C86" s="25" t="s">
        <v>193</v>
      </c>
      <c r="D86" s="26" t="s">
        <v>24</v>
      </c>
      <c r="E86" s="27"/>
      <c r="F86" s="28"/>
      <c r="G86" s="4"/>
      <c r="H86" s="4"/>
      <c r="I86" s="4"/>
      <c r="J86" s="4"/>
      <c r="K86" s="4"/>
      <c r="L86" s="4"/>
      <c r="M86" s="4"/>
      <c r="N86" s="4"/>
      <c r="O86" s="4"/>
      <c r="P86" s="4"/>
      <c r="Q86" s="4"/>
      <c r="R86" s="4"/>
      <c r="S86" s="4"/>
      <c r="T86" s="4"/>
      <c r="U86" s="4"/>
      <c r="V86" s="4"/>
      <c r="W86" s="4"/>
      <c r="X86" s="4"/>
      <c r="Y86" s="4"/>
      <c r="Z86" s="4"/>
    </row>
    <row r="87" ht="15.75" customHeight="1">
      <c r="A87" s="29"/>
      <c r="B87" s="24" t="s">
        <v>194</v>
      </c>
      <c r="C87" s="25" t="s">
        <v>195</v>
      </c>
      <c r="D87" s="26" t="s">
        <v>24</v>
      </c>
      <c r="E87" s="27"/>
      <c r="F87" s="28"/>
      <c r="G87" s="4"/>
      <c r="H87" s="4"/>
      <c r="I87" s="4"/>
      <c r="J87" s="4"/>
      <c r="K87" s="4"/>
      <c r="L87" s="4"/>
      <c r="M87" s="4"/>
      <c r="N87" s="4"/>
      <c r="O87" s="4"/>
      <c r="P87" s="4"/>
      <c r="Q87" s="4"/>
      <c r="R87" s="4"/>
      <c r="S87" s="4"/>
      <c r="T87" s="4"/>
      <c r="U87" s="4"/>
      <c r="V87" s="4"/>
      <c r="W87" s="4"/>
      <c r="X87" s="4"/>
      <c r="Y87" s="4"/>
      <c r="Z87" s="4"/>
    </row>
    <row r="88" ht="15.75" customHeight="1">
      <c r="A88" s="29"/>
      <c r="B88" s="24" t="s">
        <v>196</v>
      </c>
      <c r="C88" s="25" t="s">
        <v>197</v>
      </c>
      <c r="D88" s="26" t="s">
        <v>24</v>
      </c>
      <c r="E88" s="27"/>
      <c r="F88" s="28"/>
      <c r="G88" s="4"/>
      <c r="H88" s="4"/>
      <c r="I88" s="4"/>
      <c r="J88" s="4"/>
      <c r="K88" s="4"/>
      <c r="L88" s="4"/>
      <c r="M88" s="4"/>
      <c r="N88" s="4"/>
      <c r="O88" s="4"/>
      <c r="P88" s="4"/>
      <c r="Q88" s="4"/>
      <c r="R88" s="4"/>
      <c r="S88" s="4"/>
      <c r="T88" s="4"/>
      <c r="U88" s="4"/>
      <c r="V88" s="4"/>
      <c r="W88" s="4"/>
      <c r="X88" s="4"/>
      <c r="Y88" s="4"/>
      <c r="Z88" s="4"/>
    </row>
    <row r="89" ht="15.75" customHeight="1">
      <c r="A89" s="29"/>
      <c r="B89" s="24" t="s">
        <v>198</v>
      </c>
      <c r="C89" s="25" t="s">
        <v>199</v>
      </c>
      <c r="D89" s="26" t="s">
        <v>24</v>
      </c>
      <c r="E89" s="27"/>
      <c r="F89" s="28"/>
      <c r="G89" s="4"/>
      <c r="H89" s="4"/>
      <c r="I89" s="4"/>
      <c r="J89" s="4"/>
      <c r="K89" s="4"/>
      <c r="L89" s="4"/>
      <c r="M89" s="4"/>
      <c r="N89" s="4"/>
      <c r="O89" s="4"/>
      <c r="P89" s="4"/>
      <c r="Q89" s="4"/>
      <c r="R89" s="4"/>
      <c r="S89" s="4"/>
      <c r="T89" s="4"/>
      <c r="U89" s="4"/>
      <c r="V89" s="4"/>
      <c r="W89" s="4"/>
      <c r="X89" s="4"/>
      <c r="Y89" s="4"/>
      <c r="Z89" s="4"/>
    </row>
    <row r="90" ht="15.75" customHeight="1">
      <c r="A90" s="29"/>
      <c r="B90" s="24" t="s">
        <v>200</v>
      </c>
      <c r="C90" s="25" t="s">
        <v>201</v>
      </c>
      <c r="D90" s="26" t="s">
        <v>24</v>
      </c>
      <c r="E90" s="27"/>
      <c r="F90" s="28"/>
      <c r="G90" s="4"/>
      <c r="H90" s="4"/>
      <c r="I90" s="4"/>
      <c r="J90" s="4"/>
      <c r="K90" s="4"/>
      <c r="L90" s="4"/>
      <c r="M90" s="4"/>
      <c r="N90" s="4"/>
      <c r="O90" s="4"/>
      <c r="P90" s="4"/>
      <c r="Q90" s="4"/>
      <c r="R90" s="4"/>
      <c r="S90" s="4"/>
      <c r="T90" s="4"/>
      <c r="U90" s="4"/>
      <c r="V90" s="4"/>
      <c r="W90" s="4"/>
      <c r="X90" s="4"/>
      <c r="Y90" s="4"/>
      <c r="Z90" s="4"/>
    </row>
    <row r="91" ht="15.75" customHeight="1">
      <c r="A91" s="29"/>
      <c r="B91" s="24" t="s">
        <v>202</v>
      </c>
      <c r="C91" s="25" t="s">
        <v>203</v>
      </c>
      <c r="D91" s="26" t="s">
        <v>24</v>
      </c>
      <c r="E91" s="27"/>
      <c r="F91" s="28"/>
      <c r="G91" s="4"/>
      <c r="H91" s="4"/>
      <c r="I91" s="4"/>
      <c r="J91" s="4"/>
      <c r="K91" s="4"/>
      <c r="L91" s="4"/>
      <c r="M91" s="4"/>
      <c r="N91" s="4"/>
      <c r="O91" s="4"/>
      <c r="P91" s="4"/>
      <c r="Q91" s="4"/>
      <c r="R91" s="4"/>
      <c r="S91" s="4"/>
      <c r="T91" s="4"/>
      <c r="U91" s="4"/>
      <c r="V91" s="4"/>
      <c r="W91" s="4"/>
      <c r="X91" s="4"/>
      <c r="Y91" s="4"/>
      <c r="Z91" s="4"/>
    </row>
    <row r="92" ht="15.75" customHeight="1">
      <c r="A92" s="29"/>
      <c r="B92" s="24" t="s">
        <v>204</v>
      </c>
      <c r="C92" s="25" t="s">
        <v>205</v>
      </c>
      <c r="D92" s="26" t="s">
        <v>24</v>
      </c>
      <c r="E92" s="27"/>
      <c r="F92" s="28"/>
      <c r="G92" s="4"/>
      <c r="H92" s="4"/>
      <c r="I92" s="4"/>
      <c r="J92" s="4"/>
      <c r="K92" s="4"/>
      <c r="L92" s="4"/>
      <c r="M92" s="4"/>
      <c r="N92" s="4"/>
      <c r="O92" s="4"/>
      <c r="P92" s="4"/>
      <c r="Q92" s="4"/>
      <c r="R92" s="4"/>
      <c r="S92" s="4"/>
      <c r="T92" s="4"/>
      <c r="U92" s="4"/>
      <c r="V92" s="4"/>
      <c r="W92" s="4"/>
      <c r="X92" s="4"/>
      <c r="Y92" s="4"/>
      <c r="Z92" s="4"/>
    </row>
    <row r="93" ht="15.75" customHeight="1">
      <c r="A93" s="29"/>
      <c r="B93" s="24" t="s">
        <v>206</v>
      </c>
      <c r="C93" s="25" t="s">
        <v>207</v>
      </c>
      <c r="D93" s="26" t="s">
        <v>24</v>
      </c>
      <c r="E93" s="27"/>
      <c r="F93" s="28"/>
      <c r="G93" s="4"/>
      <c r="H93" s="4"/>
      <c r="I93" s="4"/>
      <c r="J93" s="4"/>
      <c r="K93" s="4"/>
      <c r="L93" s="4"/>
      <c r="M93" s="4"/>
      <c r="N93" s="4"/>
      <c r="O93" s="4"/>
      <c r="P93" s="4"/>
      <c r="Q93" s="4"/>
      <c r="R93" s="4"/>
      <c r="S93" s="4"/>
      <c r="T93" s="4"/>
      <c r="U93" s="4"/>
      <c r="V93" s="4"/>
      <c r="W93" s="4"/>
      <c r="X93" s="4"/>
      <c r="Y93" s="4"/>
      <c r="Z93" s="4"/>
    </row>
    <row r="94" ht="15.75" customHeight="1">
      <c r="A94" s="29"/>
      <c r="B94" s="24" t="s">
        <v>208</v>
      </c>
      <c r="C94" s="25" t="s">
        <v>209</v>
      </c>
      <c r="D94" s="26" t="s">
        <v>24</v>
      </c>
      <c r="E94" s="27"/>
      <c r="F94" s="28"/>
      <c r="G94" s="4"/>
      <c r="H94" s="4"/>
      <c r="I94" s="4"/>
      <c r="J94" s="4"/>
      <c r="K94" s="4"/>
      <c r="L94" s="4"/>
      <c r="M94" s="4"/>
      <c r="N94" s="4"/>
      <c r="O94" s="4"/>
      <c r="P94" s="4"/>
      <c r="Q94" s="4"/>
      <c r="R94" s="4"/>
      <c r="S94" s="4"/>
      <c r="T94" s="4"/>
      <c r="U94" s="4"/>
      <c r="V94" s="4"/>
      <c r="W94" s="4"/>
      <c r="X94" s="4"/>
      <c r="Y94" s="4"/>
      <c r="Z94" s="4"/>
    </row>
    <row r="95" ht="15.75" customHeight="1">
      <c r="A95" s="29"/>
      <c r="B95" s="24" t="s">
        <v>210</v>
      </c>
      <c r="C95" s="25" t="s">
        <v>211</v>
      </c>
      <c r="D95" s="26" t="s">
        <v>24</v>
      </c>
      <c r="E95" s="27"/>
      <c r="F95" s="28"/>
      <c r="G95" s="4"/>
      <c r="H95" s="4"/>
      <c r="I95" s="4"/>
      <c r="J95" s="4"/>
      <c r="K95" s="4"/>
      <c r="L95" s="4"/>
      <c r="M95" s="4"/>
      <c r="N95" s="4"/>
      <c r="O95" s="4"/>
      <c r="P95" s="4"/>
      <c r="Q95" s="4"/>
      <c r="R95" s="4"/>
      <c r="S95" s="4"/>
      <c r="T95" s="4"/>
      <c r="U95" s="4"/>
      <c r="V95" s="4"/>
      <c r="W95" s="4"/>
      <c r="X95" s="4"/>
      <c r="Y95" s="4"/>
      <c r="Z95" s="4"/>
    </row>
    <row r="96" ht="15.75" customHeight="1">
      <c r="A96" s="30"/>
      <c r="B96" s="24" t="s">
        <v>212</v>
      </c>
      <c r="C96" s="25" t="s">
        <v>213</v>
      </c>
      <c r="D96" s="26" t="s">
        <v>24</v>
      </c>
      <c r="E96" s="27"/>
      <c r="F96" s="28"/>
      <c r="G96" s="4"/>
      <c r="H96" s="4"/>
      <c r="I96" s="4"/>
      <c r="J96" s="4"/>
      <c r="K96" s="4"/>
      <c r="L96" s="4"/>
      <c r="M96" s="4"/>
      <c r="N96" s="4"/>
      <c r="O96" s="4"/>
      <c r="P96" s="4"/>
      <c r="Q96" s="4"/>
      <c r="R96" s="4"/>
      <c r="S96" s="4"/>
      <c r="T96" s="4"/>
      <c r="U96" s="4"/>
      <c r="V96" s="4"/>
      <c r="W96" s="4"/>
      <c r="X96" s="4"/>
      <c r="Y96" s="4"/>
      <c r="Z96" s="4"/>
    </row>
    <row r="97" ht="15.75" customHeight="1">
      <c r="A97" s="23" t="s">
        <v>214</v>
      </c>
      <c r="B97" s="24" t="s">
        <v>215</v>
      </c>
      <c r="C97" s="25" t="s">
        <v>216</v>
      </c>
      <c r="D97" s="26" t="s">
        <v>24</v>
      </c>
      <c r="E97" s="27"/>
      <c r="F97" s="28"/>
      <c r="G97" s="4"/>
      <c r="H97" s="4"/>
      <c r="I97" s="4"/>
      <c r="J97" s="4"/>
      <c r="K97" s="4"/>
      <c r="L97" s="4"/>
      <c r="M97" s="4"/>
      <c r="N97" s="4"/>
      <c r="O97" s="4"/>
      <c r="P97" s="4"/>
      <c r="Q97" s="4"/>
      <c r="R97" s="4"/>
      <c r="S97" s="4"/>
      <c r="T97" s="4"/>
      <c r="U97" s="4"/>
      <c r="V97" s="4"/>
      <c r="W97" s="4"/>
      <c r="X97" s="4"/>
      <c r="Y97" s="4"/>
      <c r="Z97" s="4"/>
    </row>
    <row r="98" ht="15.75" customHeight="1">
      <c r="A98" s="29"/>
      <c r="B98" s="24" t="s">
        <v>217</v>
      </c>
      <c r="C98" s="25" t="s">
        <v>218</v>
      </c>
      <c r="D98" s="26" t="s">
        <v>24</v>
      </c>
      <c r="E98" s="27"/>
      <c r="F98" s="28"/>
      <c r="G98" s="4"/>
      <c r="H98" s="4"/>
      <c r="I98" s="4"/>
      <c r="J98" s="4"/>
      <c r="K98" s="4"/>
      <c r="L98" s="4"/>
      <c r="M98" s="4"/>
      <c r="N98" s="4"/>
      <c r="O98" s="4"/>
      <c r="P98" s="4"/>
      <c r="Q98" s="4"/>
      <c r="R98" s="4"/>
      <c r="S98" s="4"/>
      <c r="T98" s="4"/>
      <c r="U98" s="4"/>
      <c r="V98" s="4"/>
      <c r="W98" s="4"/>
      <c r="X98" s="4"/>
      <c r="Y98" s="4"/>
      <c r="Z98" s="4"/>
    </row>
    <row r="99" ht="15.75" customHeight="1">
      <c r="A99" s="29"/>
      <c r="B99" s="24" t="s">
        <v>219</v>
      </c>
      <c r="C99" s="25" t="s">
        <v>220</v>
      </c>
      <c r="D99" s="26" t="s">
        <v>24</v>
      </c>
      <c r="E99" s="27"/>
      <c r="F99" s="28"/>
      <c r="G99" s="4"/>
      <c r="H99" s="4"/>
      <c r="I99" s="4"/>
      <c r="J99" s="4"/>
      <c r="K99" s="4"/>
      <c r="L99" s="4"/>
      <c r="M99" s="4"/>
      <c r="N99" s="4"/>
      <c r="O99" s="4"/>
      <c r="P99" s="4"/>
      <c r="Q99" s="4"/>
      <c r="R99" s="4"/>
      <c r="S99" s="4"/>
      <c r="T99" s="4"/>
      <c r="U99" s="4"/>
      <c r="V99" s="4"/>
      <c r="W99" s="4"/>
      <c r="X99" s="4"/>
      <c r="Y99" s="4"/>
      <c r="Z99" s="4"/>
    </row>
    <row r="100" ht="15.75" customHeight="1">
      <c r="A100" s="29"/>
      <c r="B100" s="24" t="s">
        <v>221</v>
      </c>
      <c r="C100" s="25" t="s">
        <v>222</v>
      </c>
      <c r="D100" s="26" t="s">
        <v>24</v>
      </c>
      <c r="E100" s="27"/>
      <c r="F100" s="28"/>
      <c r="G100" s="4"/>
      <c r="H100" s="4"/>
      <c r="I100" s="4"/>
      <c r="J100" s="4"/>
      <c r="K100" s="4"/>
      <c r="L100" s="4"/>
      <c r="M100" s="4"/>
      <c r="N100" s="4"/>
      <c r="O100" s="4"/>
      <c r="P100" s="4"/>
      <c r="Q100" s="4"/>
      <c r="R100" s="4"/>
      <c r="S100" s="4"/>
      <c r="T100" s="4"/>
      <c r="U100" s="4"/>
      <c r="V100" s="4"/>
      <c r="W100" s="4"/>
      <c r="X100" s="4"/>
      <c r="Y100" s="4"/>
      <c r="Z100" s="4"/>
    </row>
    <row r="101" ht="15.75" customHeight="1">
      <c r="A101" s="29"/>
      <c r="B101" s="24" t="s">
        <v>223</v>
      </c>
      <c r="C101" s="25" t="s">
        <v>224</v>
      </c>
      <c r="D101" s="26" t="s">
        <v>24</v>
      </c>
      <c r="E101" s="27"/>
      <c r="F101" s="28"/>
      <c r="G101" s="4"/>
      <c r="H101" s="4"/>
      <c r="I101" s="4"/>
      <c r="J101" s="4"/>
      <c r="K101" s="4"/>
      <c r="L101" s="4"/>
      <c r="M101" s="4"/>
      <c r="N101" s="4"/>
      <c r="O101" s="4"/>
      <c r="P101" s="4"/>
      <c r="Q101" s="4"/>
      <c r="R101" s="4"/>
      <c r="S101" s="4"/>
      <c r="T101" s="4"/>
      <c r="U101" s="4"/>
      <c r="V101" s="4"/>
      <c r="W101" s="4"/>
      <c r="X101" s="4"/>
      <c r="Y101" s="4"/>
      <c r="Z101" s="4"/>
    </row>
    <row r="102" ht="15.75" customHeight="1">
      <c r="A102" s="29"/>
      <c r="B102" s="24" t="s">
        <v>225</v>
      </c>
      <c r="C102" s="25" t="s">
        <v>226</v>
      </c>
      <c r="D102" s="26" t="s">
        <v>24</v>
      </c>
      <c r="E102" s="27"/>
      <c r="F102" s="28"/>
      <c r="G102" s="4"/>
      <c r="H102" s="4"/>
      <c r="I102" s="4"/>
      <c r="J102" s="4"/>
      <c r="K102" s="4"/>
      <c r="L102" s="4"/>
      <c r="M102" s="4"/>
      <c r="N102" s="4"/>
      <c r="O102" s="4"/>
      <c r="P102" s="4"/>
      <c r="Q102" s="4"/>
      <c r="R102" s="4"/>
      <c r="S102" s="4"/>
      <c r="T102" s="4"/>
      <c r="U102" s="4"/>
      <c r="V102" s="4"/>
      <c r="W102" s="4"/>
      <c r="X102" s="4"/>
      <c r="Y102" s="4"/>
      <c r="Z102" s="4"/>
    </row>
    <row r="103" ht="15.75" customHeight="1">
      <c r="A103" s="29"/>
      <c r="B103" s="24" t="s">
        <v>227</v>
      </c>
      <c r="C103" s="25" t="s">
        <v>228</v>
      </c>
      <c r="D103" s="26" t="s">
        <v>24</v>
      </c>
      <c r="E103" s="27"/>
      <c r="F103" s="28"/>
      <c r="G103" s="4"/>
      <c r="H103" s="4"/>
      <c r="I103" s="4"/>
      <c r="J103" s="4"/>
      <c r="K103" s="4"/>
      <c r="L103" s="4"/>
      <c r="M103" s="4"/>
      <c r="N103" s="4"/>
      <c r="O103" s="4"/>
      <c r="P103" s="4"/>
      <c r="Q103" s="4"/>
      <c r="R103" s="4"/>
      <c r="S103" s="4"/>
      <c r="T103" s="4"/>
      <c r="U103" s="4"/>
      <c r="V103" s="4"/>
      <c r="W103" s="4"/>
      <c r="X103" s="4"/>
      <c r="Y103" s="4"/>
      <c r="Z103" s="4"/>
    </row>
    <row r="104" ht="15.75" customHeight="1">
      <c r="A104" s="29"/>
      <c r="B104" s="24" t="s">
        <v>229</v>
      </c>
      <c r="C104" s="25" t="s">
        <v>230</v>
      </c>
      <c r="D104" s="26" t="s">
        <v>24</v>
      </c>
      <c r="E104" s="27"/>
      <c r="F104" s="28"/>
      <c r="G104" s="4"/>
      <c r="H104" s="4"/>
      <c r="I104" s="4"/>
      <c r="J104" s="4"/>
      <c r="K104" s="4"/>
      <c r="L104" s="4"/>
      <c r="M104" s="4"/>
      <c r="N104" s="4"/>
      <c r="O104" s="4"/>
      <c r="P104" s="4"/>
      <c r="Q104" s="4"/>
      <c r="R104" s="4"/>
      <c r="S104" s="4"/>
      <c r="T104" s="4"/>
      <c r="U104" s="4"/>
      <c r="V104" s="4"/>
      <c r="W104" s="4"/>
      <c r="X104" s="4"/>
      <c r="Y104" s="4"/>
      <c r="Z104" s="4"/>
    </row>
    <row r="105" ht="15.75" customHeight="1">
      <c r="A105" s="29"/>
      <c r="B105" s="24" t="s">
        <v>231</v>
      </c>
      <c r="C105" s="25" t="s">
        <v>232</v>
      </c>
      <c r="D105" s="26" t="s">
        <v>24</v>
      </c>
      <c r="E105" s="27"/>
      <c r="F105" s="28"/>
      <c r="G105" s="4"/>
      <c r="H105" s="4"/>
      <c r="I105" s="4"/>
      <c r="J105" s="4"/>
      <c r="K105" s="4"/>
      <c r="L105" s="4"/>
      <c r="M105" s="4"/>
      <c r="N105" s="4"/>
      <c r="O105" s="4"/>
      <c r="P105" s="4"/>
      <c r="Q105" s="4"/>
      <c r="R105" s="4"/>
      <c r="S105" s="4"/>
      <c r="T105" s="4"/>
      <c r="U105" s="4"/>
      <c r="V105" s="4"/>
      <c r="W105" s="4"/>
      <c r="X105" s="4"/>
      <c r="Y105" s="4"/>
      <c r="Z105" s="4"/>
    </row>
    <row r="106" ht="15.75" customHeight="1">
      <c r="A106" s="29"/>
      <c r="B106" s="24" t="s">
        <v>233</v>
      </c>
      <c r="C106" s="25" t="s">
        <v>234</v>
      </c>
      <c r="D106" s="26" t="s">
        <v>24</v>
      </c>
      <c r="E106" s="27"/>
      <c r="F106" s="28"/>
      <c r="G106" s="4"/>
      <c r="H106" s="4"/>
      <c r="I106" s="4"/>
      <c r="J106" s="4"/>
      <c r="K106" s="4"/>
      <c r="L106" s="4"/>
      <c r="M106" s="4"/>
      <c r="N106" s="4"/>
      <c r="O106" s="4"/>
      <c r="P106" s="4"/>
      <c r="Q106" s="4"/>
      <c r="R106" s="4"/>
      <c r="S106" s="4"/>
      <c r="T106" s="4"/>
      <c r="U106" s="4"/>
      <c r="V106" s="4"/>
      <c r="W106" s="4"/>
      <c r="X106" s="4"/>
      <c r="Y106" s="4"/>
      <c r="Z106" s="4"/>
    </row>
    <row r="107" ht="15.75" customHeight="1">
      <c r="A107" s="30"/>
      <c r="B107" s="24" t="s">
        <v>235</v>
      </c>
      <c r="C107" s="25" t="s">
        <v>236</v>
      </c>
      <c r="D107" s="26" t="s">
        <v>24</v>
      </c>
      <c r="E107" s="27"/>
      <c r="F107" s="28"/>
      <c r="G107" s="4"/>
      <c r="H107" s="4"/>
      <c r="I107" s="4"/>
      <c r="J107" s="4"/>
      <c r="K107" s="4"/>
      <c r="L107" s="4"/>
      <c r="M107" s="4"/>
      <c r="N107" s="4"/>
      <c r="O107" s="4"/>
      <c r="P107" s="4"/>
      <c r="Q107" s="4"/>
      <c r="R107" s="4"/>
      <c r="S107" s="4"/>
      <c r="T107" s="4"/>
      <c r="U107" s="4"/>
      <c r="V107" s="4"/>
      <c r="W107" s="4"/>
      <c r="X107" s="4"/>
      <c r="Y107" s="4"/>
      <c r="Z107" s="4"/>
    </row>
    <row r="108" ht="15.75" customHeight="1">
      <c r="A108" s="23" t="s">
        <v>237</v>
      </c>
      <c r="B108" s="24" t="s">
        <v>238</v>
      </c>
      <c r="C108" s="25" t="s">
        <v>239</v>
      </c>
      <c r="D108" s="26" t="s">
        <v>24</v>
      </c>
      <c r="E108" s="27"/>
      <c r="F108" s="28"/>
      <c r="G108" s="4"/>
      <c r="H108" s="4"/>
      <c r="I108" s="4"/>
      <c r="J108" s="4"/>
      <c r="K108" s="4"/>
      <c r="L108" s="4"/>
      <c r="M108" s="4"/>
      <c r="N108" s="4"/>
      <c r="O108" s="4"/>
      <c r="P108" s="4"/>
      <c r="Q108" s="4"/>
      <c r="R108" s="4"/>
      <c r="S108" s="4"/>
      <c r="T108" s="4"/>
      <c r="U108" s="4"/>
      <c r="V108" s="4"/>
      <c r="W108" s="4"/>
      <c r="X108" s="4"/>
      <c r="Y108" s="4"/>
      <c r="Z108" s="4"/>
    </row>
    <row r="109" ht="15.75" customHeight="1">
      <c r="A109" s="29"/>
      <c r="B109" s="24" t="s">
        <v>240</v>
      </c>
      <c r="C109" s="25" t="s">
        <v>241</v>
      </c>
      <c r="D109" s="26" t="s">
        <v>24</v>
      </c>
      <c r="E109" s="27"/>
      <c r="F109" s="28"/>
      <c r="G109" s="4"/>
      <c r="H109" s="4"/>
      <c r="I109" s="4"/>
      <c r="J109" s="4"/>
      <c r="K109" s="4"/>
      <c r="L109" s="4"/>
      <c r="M109" s="4"/>
      <c r="N109" s="4"/>
      <c r="O109" s="4"/>
      <c r="P109" s="4"/>
      <c r="Q109" s="4"/>
      <c r="R109" s="4"/>
      <c r="S109" s="4"/>
      <c r="T109" s="4"/>
      <c r="U109" s="4"/>
      <c r="V109" s="4"/>
      <c r="W109" s="4"/>
      <c r="X109" s="4"/>
      <c r="Y109" s="4"/>
      <c r="Z109" s="4"/>
    </row>
    <row r="110" ht="15.75" customHeight="1">
      <c r="A110" s="29"/>
      <c r="B110" s="24" t="s">
        <v>242</v>
      </c>
      <c r="C110" s="25" t="s">
        <v>243</v>
      </c>
      <c r="D110" s="26" t="s">
        <v>24</v>
      </c>
      <c r="E110" s="27"/>
      <c r="F110" s="28"/>
      <c r="G110" s="4"/>
      <c r="H110" s="4"/>
      <c r="I110" s="4"/>
      <c r="J110" s="4"/>
      <c r="K110" s="4"/>
      <c r="L110" s="4"/>
      <c r="M110" s="4"/>
      <c r="N110" s="4"/>
      <c r="O110" s="4"/>
      <c r="P110" s="4"/>
      <c r="Q110" s="4"/>
      <c r="R110" s="4"/>
      <c r="S110" s="4"/>
      <c r="T110" s="4"/>
      <c r="U110" s="4"/>
      <c r="V110" s="4"/>
      <c r="W110" s="4"/>
      <c r="X110" s="4"/>
      <c r="Y110" s="4"/>
      <c r="Z110" s="4"/>
    </row>
    <row r="111" ht="15.75" customHeight="1">
      <c r="A111" s="29"/>
      <c r="B111" s="24" t="s">
        <v>244</v>
      </c>
      <c r="C111" s="25" t="s">
        <v>245</v>
      </c>
      <c r="D111" s="26" t="s">
        <v>24</v>
      </c>
      <c r="E111" s="27"/>
      <c r="F111" s="28"/>
      <c r="G111" s="4"/>
      <c r="H111" s="4"/>
      <c r="I111" s="4"/>
      <c r="J111" s="4"/>
      <c r="K111" s="4"/>
      <c r="L111" s="4"/>
      <c r="M111" s="4"/>
      <c r="N111" s="4"/>
      <c r="O111" s="4"/>
      <c r="P111" s="4"/>
      <c r="Q111" s="4"/>
      <c r="R111" s="4"/>
      <c r="S111" s="4"/>
      <c r="T111" s="4"/>
      <c r="U111" s="4"/>
      <c r="V111" s="4"/>
      <c r="W111" s="4"/>
      <c r="X111" s="4"/>
      <c r="Y111" s="4"/>
      <c r="Z111" s="4"/>
    </row>
    <row r="112" ht="15.75" customHeight="1">
      <c r="A112" s="29"/>
      <c r="B112" s="24" t="s">
        <v>246</v>
      </c>
      <c r="C112" s="25" t="s">
        <v>247</v>
      </c>
      <c r="D112" s="26" t="s">
        <v>24</v>
      </c>
      <c r="E112" s="27"/>
      <c r="F112" s="28"/>
      <c r="G112" s="4"/>
      <c r="H112" s="4"/>
      <c r="I112" s="4"/>
      <c r="J112" s="4"/>
      <c r="K112" s="4"/>
      <c r="L112" s="4"/>
      <c r="M112" s="4"/>
      <c r="N112" s="4"/>
      <c r="O112" s="4"/>
      <c r="P112" s="4"/>
      <c r="Q112" s="4"/>
      <c r="R112" s="4"/>
      <c r="S112" s="4"/>
      <c r="T112" s="4"/>
      <c r="U112" s="4"/>
      <c r="V112" s="4"/>
      <c r="W112" s="4"/>
      <c r="X112" s="4"/>
      <c r="Y112" s="4"/>
      <c r="Z112" s="4"/>
    </row>
    <row r="113" ht="15.75" customHeight="1">
      <c r="A113" s="29"/>
      <c r="B113" s="24" t="s">
        <v>248</v>
      </c>
      <c r="C113" s="25" t="s">
        <v>249</v>
      </c>
      <c r="D113" s="26" t="s">
        <v>24</v>
      </c>
      <c r="E113" s="27"/>
      <c r="F113" s="28"/>
      <c r="G113" s="4"/>
      <c r="H113" s="4"/>
      <c r="I113" s="4"/>
      <c r="J113" s="4"/>
      <c r="K113" s="4"/>
      <c r="L113" s="4"/>
      <c r="M113" s="4"/>
      <c r="N113" s="4"/>
      <c r="O113" s="4"/>
      <c r="P113" s="4"/>
      <c r="Q113" s="4"/>
      <c r="R113" s="4"/>
      <c r="S113" s="4"/>
      <c r="T113" s="4"/>
      <c r="U113" s="4"/>
      <c r="V113" s="4"/>
      <c r="W113" s="4"/>
      <c r="X113" s="4"/>
      <c r="Y113" s="4"/>
      <c r="Z113" s="4"/>
    </row>
    <row r="114" ht="15.75" customHeight="1">
      <c r="A114" s="29"/>
      <c r="B114" s="24" t="s">
        <v>250</v>
      </c>
      <c r="C114" s="25" t="s">
        <v>251</v>
      </c>
      <c r="D114" s="26" t="s">
        <v>24</v>
      </c>
      <c r="E114" s="27"/>
      <c r="F114" s="28"/>
      <c r="G114" s="4"/>
      <c r="H114" s="4"/>
      <c r="I114" s="4"/>
      <c r="J114" s="4"/>
      <c r="K114" s="4"/>
      <c r="L114" s="4"/>
      <c r="M114" s="4"/>
      <c r="N114" s="4"/>
      <c r="O114" s="4"/>
      <c r="P114" s="4"/>
      <c r="Q114" s="4"/>
      <c r="R114" s="4"/>
      <c r="S114" s="4"/>
      <c r="T114" s="4"/>
      <c r="U114" s="4"/>
      <c r="V114" s="4"/>
      <c r="W114" s="4"/>
      <c r="X114" s="4"/>
      <c r="Y114" s="4"/>
      <c r="Z114" s="4"/>
    </row>
    <row r="115" ht="15.75" customHeight="1">
      <c r="A115" s="29"/>
      <c r="B115" s="24" t="s">
        <v>252</v>
      </c>
      <c r="C115" s="25" t="s">
        <v>253</v>
      </c>
      <c r="D115" s="26" t="s">
        <v>24</v>
      </c>
      <c r="E115" s="27"/>
      <c r="F115" s="28"/>
      <c r="G115" s="4"/>
      <c r="H115" s="4"/>
      <c r="I115" s="4"/>
      <c r="J115" s="4"/>
      <c r="K115" s="4"/>
      <c r="L115" s="4"/>
      <c r="M115" s="4"/>
      <c r="N115" s="4"/>
      <c r="O115" s="4"/>
      <c r="P115" s="4"/>
      <c r="Q115" s="4"/>
      <c r="R115" s="4"/>
      <c r="S115" s="4"/>
      <c r="T115" s="4"/>
      <c r="U115" s="4"/>
      <c r="V115" s="4"/>
      <c r="W115" s="4"/>
      <c r="X115" s="4"/>
      <c r="Y115" s="4"/>
      <c r="Z115" s="4"/>
    </row>
    <row r="116" ht="15.75" customHeight="1">
      <c r="A116" s="29"/>
      <c r="B116" s="24" t="s">
        <v>254</v>
      </c>
      <c r="C116" s="25" t="s">
        <v>255</v>
      </c>
      <c r="D116" s="26" t="s">
        <v>24</v>
      </c>
      <c r="E116" s="27"/>
      <c r="F116" s="28"/>
      <c r="G116" s="4"/>
      <c r="H116" s="4"/>
      <c r="I116" s="4"/>
      <c r="J116" s="4"/>
      <c r="K116" s="4"/>
      <c r="L116" s="4"/>
      <c r="M116" s="4"/>
      <c r="N116" s="4"/>
      <c r="O116" s="4"/>
      <c r="P116" s="4"/>
      <c r="Q116" s="4"/>
      <c r="R116" s="4"/>
      <c r="S116" s="4"/>
      <c r="T116" s="4"/>
      <c r="U116" s="4"/>
      <c r="V116" s="4"/>
      <c r="W116" s="4"/>
      <c r="X116" s="4"/>
      <c r="Y116" s="4"/>
      <c r="Z116" s="4"/>
    </row>
    <row r="117" ht="15.75" customHeight="1">
      <c r="A117" s="29"/>
      <c r="B117" s="24" t="s">
        <v>256</v>
      </c>
      <c r="C117" s="25" t="s">
        <v>257</v>
      </c>
      <c r="D117" s="26" t="s">
        <v>24</v>
      </c>
      <c r="E117" s="27"/>
      <c r="F117" s="28"/>
      <c r="G117" s="4"/>
      <c r="H117" s="4"/>
      <c r="I117" s="4"/>
      <c r="J117" s="4"/>
      <c r="K117" s="4"/>
      <c r="L117" s="4"/>
      <c r="M117" s="4"/>
      <c r="N117" s="4"/>
      <c r="O117" s="4"/>
      <c r="P117" s="4"/>
      <c r="Q117" s="4"/>
      <c r="R117" s="4"/>
      <c r="S117" s="4"/>
      <c r="T117" s="4"/>
      <c r="U117" s="4"/>
      <c r="V117" s="4"/>
      <c r="W117" s="4"/>
      <c r="X117" s="4"/>
      <c r="Y117" s="4"/>
      <c r="Z117" s="4"/>
    </row>
    <row r="118" ht="15.75" customHeight="1">
      <c r="A118" s="29"/>
      <c r="B118" s="24" t="s">
        <v>258</v>
      </c>
      <c r="C118" s="25" t="s">
        <v>259</v>
      </c>
      <c r="D118" s="26" t="s">
        <v>24</v>
      </c>
      <c r="E118" s="27"/>
      <c r="F118" s="28"/>
      <c r="G118" s="4"/>
      <c r="H118" s="4"/>
      <c r="I118" s="4"/>
      <c r="J118" s="4"/>
      <c r="K118" s="4"/>
      <c r="L118" s="4"/>
      <c r="M118" s="4"/>
      <c r="N118" s="4"/>
      <c r="O118" s="4"/>
      <c r="P118" s="4"/>
      <c r="Q118" s="4"/>
      <c r="R118" s="4"/>
      <c r="S118" s="4"/>
      <c r="T118" s="4"/>
      <c r="U118" s="4"/>
      <c r="V118" s="4"/>
      <c r="W118" s="4"/>
      <c r="X118" s="4"/>
      <c r="Y118" s="4"/>
      <c r="Z118" s="4"/>
    </row>
    <row r="119" ht="15.75" customHeight="1">
      <c r="A119" s="30"/>
      <c r="B119" s="24" t="s">
        <v>260</v>
      </c>
      <c r="C119" s="25" t="s">
        <v>261</v>
      </c>
      <c r="D119" s="26" t="s">
        <v>24</v>
      </c>
      <c r="E119" s="27"/>
      <c r="F119" s="28"/>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32" t="s">
        <v>262</v>
      </c>
      <c r="B123" s="6"/>
      <c r="C123" s="6"/>
      <c r="D123" s="7"/>
      <c r="E123" s="33" t="s">
        <v>263</v>
      </c>
      <c r="F123" s="4"/>
      <c r="G123" s="4"/>
      <c r="H123" s="4"/>
      <c r="I123" s="4"/>
      <c r="J123" s="4"/>
      <c r="K123" s="4"/>
      <c r="L123" s="4"/>
      <c r="M123" s="4"/>
      <c r="N123" s="4"/>
      <c r="O123" s="4"/>
      <c r="P123" s="4"/>
      <c r="Q123" s="4"/>
      <c r="R123" s="4"/>
      <c r="S123" s="4"/>
      <c r="T123" s="4"/>
      <c r="U123" s="4"/>
      <c r="V123" s="4"/>
      <c r="W123" s="4"/>
      <c r="X123" s="4"/>
      <c r="Y123" s="4"/>
      <c r="Z123" s="4"/>
    </row>
    <row r="124" ht="15.75" customHeight="1">
      <c r="A124" s="34"/>
      <c r="B124" s="6"/>
      <c r="C124" s="6"/>
      <c r="D124" s="7"/>
      <c r="E124" s="35"/>
      <c r="F124" s="4"/>
      <c r="G124" s="4"/>
      <c r="H124" s="4"/>
      <c r="I124" s="4"/>
      <c r="J124" s="4"/>
      <c r="K124" s="4"/>
      <c r="L124" s="4"/>
      <c r="M124" s="4"/>
      <c r="N124" s="4"/>
      <c r="O124" s="4"/>
      <c r="P124" s="4"/>
      <c r="Q124" s="4"/>
      <c r="R124" s="4"/>
      <c r="S124" s="4"/>
      <c r="T124" s="4"/>
      <c r="U124" s="4"/>
      <c r="V124" s="4"/>
      <c r="W124" s="4"/>
      <c r="X124" s="4"/>
      <c r="Y124" s="4"/>
      <c r="Z124" s="4"/>
    </row>
    <row r="125" ht="15.75" customHeight="1">
      <c r="A125" s="34"/>
      <c r="B125" s="6"/>
      <c r="C125" s="6"/>
      <c r="D125" s="7"/>
      <c r="E125" s="35"/>
      <c r="F125" s="4"/>
      <c r="G125" s="4"/>
      <c r="H125" s="4"/>
      <c r="I125" s="4"/>
      <c r="J125" s="4"/>
      <c r="K125" s="4"/>
      <c r="L125" s="4"/>
      <c r="M125" s="4"/>
      <c r="N125" s="4"/>
      <c r="O125" s="4"/>
      <c r="P125" s="4"/>
      <c r="Q125" s="4"/>
      <c r="R125" s="4"/>
      <c r="S125" s="4"/>
      <c r="T125" s="4"/>
      <c r="U125" s="4"/>
      <c r="V125" s="4"/>
      <c r="W125" s="4"/>
      <c r="X125" s="4"/>
      <c r="Y125" s="4"/>
      <c r="Z125" s="4"/>
    </row>
    <row r="126" ht="15.75" customHeight="1">
      <c r="A126" s="34"/>
      <c r="B126" s="6"/>
      <c r="C126" s="6"/>
      <c r="D126" s="7"/>
      <c r="E126" s="35"/>
      <c r="F126" s="4"/>
      <c r="G126" s="4"/>
      <c r="H126" s="4"/>
      <c r="I126" s="4"/>
      <c r="J126" s="4"/>
      <c r="K126" s="4"/>
      <c r="L126" s="4"/>
      <c r="M126" s="4"/>
      <c r="N126" s="4"/>
      <c r="O126" s="4"/>
      <c r="P126" s="4"/>
      <c r="Q126" s="4"/>
      <c r="R126" s="4"/>
      <c r="S126" s="4"/>
      <c r="T126" s="4"/>
      <c r="U126" s="4"/>
      <c r="V126" s="4"/>
      <c r="W126" s="4"/>
      <c r="X126" s="4"/>
      <c r="Y126" s="4"/>
      <c r="Z126" s="4"/>
    </row>
    <row r="127" ht="15.75" customHeight="1">
      <c r="A127" s="36"/>
      <c r="B127" s="6"/>
      <c r="C127" s="6"/>
      <c r="D127" s="7"/>
      <c r="E127" s="35"/>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29">
    <mergeCell ref="A1:D1"/>
    <mergeCell ref="A2:C2"/>
    <mergeCell ref="A3:C3"/>
    <mergeCell ref="A4:C4"/>
    <mergeCell ref="A5:C5"/>
    <mergeCell ref="A6:C6"/>
    <mergeCell ref="A7:C7"/>
    <mergeCell ref="A8:C8"/>
    <mergeCell ref="A9:C9"/>
    <mergeCell ref="A10:C10"/>
    <mergeCell ref="A11:C11"/>
    <mergeCell ref="A14:A22"/>
    <mergeCell ref="A23:A24"/>
    <mergeCell ref="A25:A27"/>
    <mergeCell ref="A84:A96"/>
    <mergeCell ref="A97:A107"/>
    <mergeCell ref="A108:A119"/>
    <mergeCell ref="A123:D123"/>
    <mergeCell ref="A124:D124"/>
    <mergeCell ref="A125:D125"/>
    <mergeCell ref="A126:D126"/>
    <mergeCell ref="A127:D127"/>
    <mergeCell ref="A28:A40"/>
    <mergeCell ref="A41:A48"/>
    <mergeCell ref="A49:A50"/>
    <mergeCell ref="A51:A55"/>
    <mergeCell ref="A56:A65"/>
    <mergeCell ref="A66:A69"/>
    <mergeCell ref="A70:A83"/>
  </mergeCells>
  <conditionalFormatting sqref="B14:E119">
    <cfRule type="expression" dxfId="0" priority="1">
      <formula>$D14="Non testé"</formula>
    </cfRule>
  </conditionalFormatting>
  <conditionalFormatting sqref="B14:E119">
    <cfRule type="expression" dxfId="1" priority="2">
      <formula>$D14="Dérogé"</formula>
    </cfRule>
  </conditionalFormatting>
  <conditionalFormatting sqref="B14:E119">
    <cfRule type="expression" dxfId="2" priority="3">
      <formula>$D14="Conforme"</formula>
    </cfRule>
  </conditionalFormatting>
  <conditionalFormatting sqref="B14:E119">
    <cfRule type="expression" dxfId="3" priority="4">
      <formula>$D14="Non conforme"</formula>
    </cfRule>
  </conditionalFormatting>
  <dataValidations>
    <dataValidation type="list" allowBlank="1" showErrorMessage="1" sqref="D14:D119">
      <formula1>"Conforme,Non conforme,Non applicable,Dérogé,Non testé"</formula1>
    </dataValidation>
  </dataValidations>
  <hyperlinks>
    <hyperlink r:id="rId1" ref="E2"/>
  </hyperlinks>
  <printOptions/>
  <pageMargins bottom="0.75" footer="0.0" header="0.0" left="0.7" right="0.7" top="0.75"/>
  <pageSetup paperSize="9" orientation="portrait"/>
  <drawing r:id="rId2"/>
</worksheet>
</file>
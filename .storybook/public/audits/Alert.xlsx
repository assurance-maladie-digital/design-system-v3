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2"/>
  <workbookPr/>
  <mc:AlternateContent xmlns:mc="http://schemas.openxmlformats.org/markup-compatibility/2006">
    <mc:Choice Requires="x15">
      <x15ac:absPath xmlns:x15ac="http://schemas.microsoft.com/office/spreadsheetml/2010/11/ac" url="/Users/Julien.Roche/Downloads/"/>
    </mc:Choice>
  </mc:AlternateContent>
  <xr:revisionPtr revIDLastSave="0" documentId="8_{48111868-DD1D-45D4-ADF1-B6B71AFF13FA}" xr6:coauthVersionLast="47" xr6:coauthVersionMax="47" xr10:uidLastSave="{00000000-0000-0000-0000-000000000000}"/>
  <bookViews>
    <workbookView xWindow="0" yWindow="760" windowWidth="30240" windowHeight="17480" xr2:uid="{00000000-000D-0000-FFFF-FFFF00000000}"/>
  </bookViews>
  <sheets>
    <sheet name="Alert"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2" l="1"/>
  <c r="D8" i="2"/>
  <c r="D9" i="2" l="1"/>
  <c r="D6" i="2"/>
  <c r="D5" i="2"/>
  <c r="D10" i="2" l="1"/>
  <c r="D11" i="2" s="1"/>
</calcChain>
</file>

<file path=xl/sharedStrings.xml><?xml version="1.0" encoding="utf-8"?>
<sst xmlns="http://schemas.openxmlformats.org/spreadsheetml/2006/main" count="385" uniqueCount="277">
  <si>
    <t>Composant : Alert</t>
  </si>
  <si>
    <t>Audit</t>
  </si>
  <si>
    <t>Audit V1</t>
  </si>
  <si>
    <t>Correction post audit V1 - (voir - https://github.com/assurance-maladie-digital/design-system/issues/4006)</t>
  </si>
  <si>
    <t>Date</t>
  </si>
  <si>
    <t>28/04/2025</t>
  </si>
  <si>
    <t>Version</t>
  </si>
  <si>
    <t>0.0.12-alpha</t>
  </si>
  <si>
    <t>0.0.16-alpha</t>
  </si>
  <si>
    <t>Nombre de critères conformes</t>
  </si>
  <si>
    <t>Nombre de critères non conformes</t>
  </si>
  <si>
    <t>Nombre de critères non applicable</t>
  </si>
  <si>
    <t>Nombre de critères dérogés</t>
  </si>
  <si>
    <t>Nombre de critères non testés</t>
  </si>
  <si>
    <t>Pourcentage de conformité</t>
  </si>
  <si>
    <t>Pourcentage de non-conformité</t>
  </si>
  <si>
    <t>Thématique</t>
  </si>
  <si>
    <t>N° critère</t>
  </si>
  <si>
    <t>Recommandation</t>
  </si>
  <si>
    <t>Conformité</t>
  </si>
  <si>
    <t>Description de l'erreur / Remarques / Questions</t>
  </si>
  <si>
    <t>Correction</t>
  </si>
  <si>
    <t>IMAGES</t>
  </si>
  <si>
    <t>1.1</t>
  </si>
  <si>
    <t>Chaque image porteuse d’information a-t-elle une alternative textuelle ?</t>
  </si>
  <si>
    <t>Non applicable</t>
  </si>
  <si>
    <t>1.2</t>
  </si>
  <si>
    <t>Chaque image de décoration est-elle correctement ignorée par les technologies d’assistance ?</t>
  </si>
  <si>
    <t>Non conforme</t>
  </si>
  <si>
    <t>L'icône du composant possède bien le aria-hidden="true" mais il ne doit pas avoir le role="img" car il ne s'agit pas d'une image porteuse d'information</t>
  </si>
  <si>
    <t>corrigé dans la version 0.0.16-alpha</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</si>
  <si>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</si>
  <si>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</si>
  <si>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</si>
  <si>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</si>
  <si>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</si>
  <si>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</si>
  <si>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</si>
  <si>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</si>
  <si>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</si>
  <si>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</si>
  <si>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</si>
  <si>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</si>
  <si>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</si>
  <si>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</si>
  <si>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</si>
  <si>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</si>
  <si>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</si>
  <si>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</si>
  <si>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</si>
  <si>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</si>
  <si>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</si>
  <si>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</si>
  <si>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</si>
  <si>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</si>
  <si>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Thème clair :
- Description (16px) Variant Tonal : Type Success 12,72 (conforme) | Type Info 11,06 (conforme) | Type Warning 13,9 (conforme) | Type Error 12,18 (conforme)
- Texte du bouton "Fermer" Variant Tonal (12px) :
    - normal =&gt; Type Success 7,58 (conforme) | Type Info 6,59 (conforme) | Type Warning 8,28 (conforme) | Type Error 7,26 (conforme)
    - hover =&gt; aucun changement de style au hover (conforme =&gt; la présence du pointeur suffit à rendre conforme le critère : https://www.w3.org/WAI/WCAG21/Understanding/non-text-contrast.html)
- Variant "Outlined" (Description + Texte du bouton) =&gt; Type Success 9,6 (conforme) | Type Info 9,4 (conforme) | Type Warning 8,6 (conforme) | Type Error 5,7 (conforme)
Thème sombre :
- Description (16px) Variant Tonal =&gt; Type Success 12,72 (conforme) | Type Info 11,06 (conforme) | Type Warning 13,9 (conforme) | Type Error 12,18 (conforme)
- Texte du bouton "Fermer" Variant Tonal (12px) :
    - normal =&gt; Type Success 2,52 (non conforme) | Type Info 2,19 (non conforme) | Type Warning 2,76 (non conforme) | Type Error 2,42 (non conforme) 
    - hover =&gt; aucun changement de style au hover (conforme =&gt; la présence du pointeur suffit à rendre conforme le critère : https://www.w3.org/WAI/WCAG21/Understanding/non-text-contrast.html)
- Variant "Outlined" (Description + Texte du bouton) =&gt;  Type Success  (conforme) | Type Info  (conforme) | Type Warning  (conforme) | Type Error  (conforme)</t>
  </si>
  <si>
    <t>3.3</t>
  </si>
  <si>
    <t>Dans chaque page web, les couleurs utilisées dans les composants d’interface ou les éléments graphiques porteurs d’informations sont-elles suffisamment contrastées (hors cas particuliers) ?</t>
  </si>
  <si>
    <t>Commun aux deux thèmes :
- Icône avant description (Variant Tonal + Outlined) :
  - entre icône et le fond de l'icône =&gt; Type Success 8,6 (conforme) | Type Info 7,9 (conforme) | Type Warning 8,1 (conforme) | Type Error 5 (conforme)
- Icône bouton "Fermer" (Variant Tonal) =&gt; Type Success 3,5 (conforme) | Type Info 3,1 (conforme) | Type Warning 3,9 (conforme) | Type Error 3,4 (conforme)
Thème clair :
- Lien :
    - focus (Variant Tonal) =&gt; entre bordure et fond du composant =&gt; Type Success 1,3 (non conforme) | Type Info 1,1 (non conforme) | Type Warning 1,4 (non conforme) | Type Error 1,2 (non conforme) 
    - focus (Variant Outlined) =&gt; Type Success 1,5 (non conforme) | Type Info 1,6 (non conforme) | Type Warning 1,5 (non conforme) | Type Error 1,5 (non conforme) 
- Icône bouton "Fermer" (Variant Outlined) tout type =&gt; 4,4 (conforme)
Thème sombre :
- Lien :
    - focus (Variant Tonal) =&gt; entre bordure et fond du composant =&gt; Type Success 1,3 (non conforme) | Type Info 1,1 (non conforme) | Type Warning 1,4 (non conforme) | Type Error 1,2 (non conforme) 
    - focus (Variant Outlined) =&gt; Type Success 1,1 (non conforme) | Type Info 1,1 (non conforme) | Type Warning 1,2 (non conforme) | Type Error 1,2 (non conforme) 
- Icône bouton "Fermer" (Variant Outlined) tout type =&gt; 4,3 (conforme)
Nous n'évaluons pas le ratio entre le fond du container de l'icône avec le fond du composant car cela ne permet pas de véhiculer une information et le composant icône n'est pas intéractif.</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</si>
  <si>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</si>
  <si>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</si>
  <si>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</si>
  <si>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</si>
  <si>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</si>
  <si>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</si>
  <si>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</si>
  <si>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</si>
  <si>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</si>
  <si>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</si>
  <si>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</si>
  <si>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</si>
  <si>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</si>
  <si>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</si>
  <si>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</si>
  <si>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</si>
  <si>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</si>
  <si>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</si>
  <si>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</si>
  <si>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</si>
  <si>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</si>
  <si>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</si>
  <si>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</si>
  <si>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</si>
  <si>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</si>
  <si>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</si>
  <si>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</si>
  <si>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</si>
  <si>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</si>
  <si>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</si>
  <si>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</si>
  <si>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</si>
  <si>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</si>
  <si>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</si>
  <si>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</si>
  <si>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</si>
  <si>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</si>
  <si>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</si>
  <si>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</si>
  <si>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</si>
  <si>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</si>
  <si>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</si>
  <si>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</si>
  <si>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</si>
  <si>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</si>
  <si>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</si>
  <si>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</si>
  <si>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</si>
  <si>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</si>
  <si>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</si>
  <si>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</si>
  <si>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</si>
  <si>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t>Positifs :
- Le rôle alert est présent sur le container
- Fermeture non automatique du composant. On peut le fermer via le bouton
Négatifs :
- Le bouton de déclenchement ainsi que le container alert doivent être présent dans le DOM dès le chargement de la page pour que la restitution au lecteur d'écran, lorsque le message change, arrive. La conséquence, c'est une difficulté de restitution du message d'alert au lecteur d'écran. Pour le cacher, il faut ajouter un display: none dans les styles sur le container et l'englober dans une &lt;div role="alert"&gt; qui n'aura pas de display: none.</t>
  </si>
  <si>
    <t>corrigé dans la version 0.0.16-alpha. Composant VUetify VAlert vrappé dans une div avec le role alert</t>
  </si>
  <si>
    <t>7.2</t>
  </si>
  <si>
    <t>Pour chaque script ayant une alternative, cette alternative est-elle pertinente ?</t>
  </si>
  <si>
    <t>7.3</t>
  </si>
  <si>
    <t>Chaque script est-il contrôlable par le clavier et par tout dispositif de pointage (hors cas particuliers) ?</t>
  </si>
  <si>
    <t>Conforme</t>
  </si>
  <si>
    <t xml:space="preserve">Il est possible d'accéder au bouton "Fermer" en faisant TAB. Attention, </t>
  </si>
  <si>
    <t>7.4</t>
  </si>
  <si>
    <t>Pour chaque script qui initie un changement de contexte, l’utilisateur est-il averti ou en a-t-il le contrôle ?</t>
  </si>
  <si>
    <t>7.5</t>
  </si>
  <si>
    <t>Dans chaque page web, les messages de statut sont-ils correctement restitués par les technologies d’assistance ?</t>
  </si>
  <si>
    <t>La suppression dans le DOM du bouton (et de la modal ?) ramène la restitution d'écran au début de la page. Le message n'est donc pas restitué correctement.</t>
  </si>
  <si>
    <t>ÉLÉMENTS OBLIGATOIRES</t>
  </si>
  <si>
    <t>8.1</t>
  </si>
  <si>
    <t>Chaque page web est-elle définie par un type de document ?</t>
  </si>
  <si>
    <t>8.2</t>
  </si>
  <si>
    <t>Pour chaque page web, le code source généré est-il valide selon le type de document spécifié (hors cas particuliers) ?</t>
  </si>
  <si>
    <t>Validé par le validateur HTML W3C</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</si>
  <si>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</si>
  <si>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</si>
  <si>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</si>
  <si>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</si>
  <si>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</si>
  <si>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</si>
  <si>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</si>
  <si>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</si>
  <si>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</si>
  <si>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</si>
  <si>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L'exemple de la documentation indique un texte en exemple anglais "Alert Content" ou "This is a warning alert".
Attention, il faut que l'exemple soit conforme en indiquant le changement de langue via un &lt;span lang="en"&gt; et permettre au développeur d'indiquer ce changement de langue, aussi bien sur la description du composant que sur le titre du bouton "Fermer" si le Design System permet d'être utilisé dans d'autres langues que l'anglais.</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</si>
  <si>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</si>
  <si>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</si>
  <si>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</si>
  <si>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</si>
  <si>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</si>
  <si>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</si>
  <si>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</si>
  <si>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</si>
  <si>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</si>
  <si>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</si>
  <si>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</si>
  <si>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</si>
  <si>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</si>
  <si>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</si>
  <si>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</si>
  <si>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</si>
  <si>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</si>
  <si>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</si>
  <si>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t>
  </si>
  <si>
    <t>10.2</t>
  </si>
  <si>
    <t>Dans chaque page web, le contenu visible porteur d’information reste-t-il présent lorsque les feuilles de styles sont désactivées ?</t>
  </si>
  <si>
    <t>Visibilité de l'icône, du texte ainsi que le bouton "Fermer"</t>
  </si>
  <si>
    <t>10.3</t>
  </si>
  <si>
    <t>Dans chaque page web, l’information reste-t-elle compréhensible lorsque les feuilles de styles sont désactivées ?</t>
  </si>
  <si>
    <t>L'information reste compréhensible car chaque élément utilise un élément HTML approprié et l'ordre ne nuit pas à la compréhension du composant.</t>
  </si>
  <si>
    <t>10.4</t>
  </si>
  <si>
    <t>Dans chaque page web, le texte reste-t-il lisible lorsque la taille des caractères est augmentée jusqu’à 200%, au moins (hors cas particuliers) ?</t>
  </si>
  <si>
    <t>Aucun problème de lisibilité, que ce soit en zoom écran ou zoom texte à 200%. Testé avec un texte de 288 caractères.</t>
  </si>
  <si>
    <t>10.5</t>
  </si>
  <si>
    <t>Dans chaque page web, les déclarations CSS de couleurs de fond d’élément et de police sont-elles correctement utilisées ?</t>
  </si>
  <si>
    <t>Le composant possède son propre fond de couleur avec une couleur de police par défaut.</t>
  </si>
  <si>
    <t>10.6</t>
  </si>
  <si>
    <t>Dans chaque page web, chaque lien dont la nature n’est pas évidente est-il visible par rapport au texte environnant ?</t>
  </si>
  <si>
    <t>10.7</t>
  </si>
  <si>
    <t>Dans chaque page web, pour chaque élément recevant le focus, la prise de focus est-elle visible ?</t>
  </si>
  <si>
    <t>Le composant ne prend pas le focus et il est important qu'en tant qu'alert ll ne le prenne pas. En revanche, il possède un sous-composant, le bouton "Fermer" qui reçoit le focus. Celui est considéré comme non visible car son contraste est insuffisant (voir critère 3.3).</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</si>
  <si>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</si>
  <si>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</si>
  <si>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</si>
  <si>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</si>
  <si>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</si>
  <si>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</si>
  <si>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</si>
  <si>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</si>
  <si>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Testé avec une description de 288 caractères sur 256px et 320px =&gt;aucun troncage du contenu</t>
  </si>
  <si>
    <t>10.12</t>
  </si>
  <si>
    <t>Dans chaque page web, les propriétés d’espacement du texte peuvent-elles être redéfinies par l’utilisateur sans perte de contenu ou de fonctionnalité (hors cas particuliers) ?</t>
  </si>
  <si>
    <t>Testé avec Assistant RGAA :
body {
line-height: 1.5 !important;
letter-spacing: 0.12em !important;
 word-spacing: 0.16em !important;
}
p { margin-bottom: 2em !important;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</si>
  <si>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</si>
  <si>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</si>
  <si>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</si>
  <si>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</si>
  <si>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</si>
  <si>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</si>
  <si>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</si>
  <si>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</si>
  <si>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</si>
  <si>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</si>
  <si>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</si>
  <si>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</si>
  <si>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</si>
  <si>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</si>
  <si>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</si>
  <si>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</si>
  <si>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</si>
  <si>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</si>
  <si>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</si>
  <si>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</si>
  <si>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</si>
  <si>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</si>
  <si>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</si>
  <si>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</si>
  <si>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</si>
  <si>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</si>
  <si>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</si>
  <si>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</si>
  <si>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</si>
  <si>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</si>
  <si>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</si>
  <si>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</si>
  <si>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</si>
  <si>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</si>
  <si>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</si>
  <si>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</si>
  <si>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</si>
  <si>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</si>
  <si>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</si>
  <si>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</si>
  <si>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</si>
  <si>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</si>
  <si>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</si>
  <si>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</si>
  <si>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</si>
  <si>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</si>
  <si>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</si>
  <si>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</si>
  <si>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</si>
  <si>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</si>
  <si>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Pas de piège avec la touche TAB. L'unique élément focusable (bouton "Fermer") est atteignable et on peut sortir du composant.</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</si>
  <si>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</si>
  <si>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</si>
  <si>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</si>
  <si>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</si>
  <si>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</si>
  <si>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</si>
  <si>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</si>
  <si>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</si>
  <si>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</si>
  <si>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</si>
  <si>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</si>
  <si>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</si>
  <si>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</si>
  <si>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</si>
  <si>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</si>
  <si>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</si>
  <si>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</si>
  <si>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</si>
  <si>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</si>
  <si>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</si>
  <si>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</si>
  <si>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</si>
  <si>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</si>
  <si>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</si>
  <si>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</si>
  <si>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</si>
  <si>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</si>
  <si>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</si>
  <si>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</si>
  <si>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Spécificité</t>
  </si>
  <si>
    <t>Source technique</t>
  </si>
  <si>
    <t>Le composant alert doit posséder le rôle "alert"</t>
  </si>
  <si>
    <t>https://www.w3.org/WAI/ARIA/apg/patterns/alert/</t>
  </si>
  <si>
    <t>Le container avec le rôle doit être présent au chargement de la page. Son contenu est modifié dyanmiquement.</t>
  </si>
  <si>
    <t>https://www.accede-web.com/notices/interface-riche/message-dalerte/</t>
  </si>
  <si>
    <t>L'alerte ne doit pas disparaître automatiquement après un certain délai</t>
  </si>
  <si>
    <t>- https://www.w3.org/WAI/ARIA/apg/patterns/alert/
- https://www.accede-web.com/notices/interface-riche/message-dalerte/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</si>
</sst>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Aptos Narrow"/>
      <family val="2"/>
      <scheme val="minor"/>
    </font>
    <font>
      <sz val="12"/>
      <color theme="1"/>
      <name val="Aptos Narrow"/>
      <family val="2"/>
      <scheme val="minor"/>
    </font>
    <font>
      <b/>
      <sz val="12"/>
      <color rgb="FFFFFFFF"/>
      <name val="Aptos Narrow"/>
      <scheme val="minor"/>
    </font>
    <font>
      <sz val="12"/>
      <color theme="1"/>
      <name val="Aptos Narrow"/>
      <scheme val="minor"/>
    </font>
    <font>
      <b/>
      <sz val="12"/>
      <color rgb="FF000000"/>
      <name val="Aptos Narrow"/>
      <scheme val="minor"/>
    </font>
    <font>
      <sz val="12"/>
      <color rgb="FF000000"/>
      <name val="Aptos Narrow"/>
      <scheme val="minor"/>
    </font>
    <font>
      <sz val="14"/>
      <color theme="1"/>
      <name val="Aptos Narrow"/>
      <family val="2"/>
      <scheme val="minor"/>
    </font>
    <font>
      <b/>
      <sz val="14"/>
      <color theme="0"/>
      <name val="Aptos Narrow"/>
      <family val="2"/>
      <scheme val="minor"/>
    </font>
    <font>
      <sz val="12"/>
      <name val="Aptos Narrow"/>
      <scheme val="minor"/>
    </font>
    <font>
      <sz val="14"/>
      <name val="Aptos Narrow"/>
      <scheme val="minor"/>
    </font>
    <font>
      <sz val="14"/>
      <color theme="1"/>
      <name val="Aptos Narrow"/>
      <scheme val="minor"/>
    </font>
    <font>
      <sz val="12"/>
      <color theme="0"/>
      <name val="Aptos Narrow"/>
      <scheme val="minor"/>
    </font>
    <font>
      <b/>
      <sz val="14"/>
      <name val="Aptos Narrow"/>
      <scheme val="minor"/>
    </font>
    <font>
      <b/>
      <sz val="14"/>
      <color theme="1"/>
      <name val="Aptos Narrow"/>
      <scheme val="minor"/>
    </font>
    <font>
      <sz val="12"/>
      <color rgb="FF006100"/>
      <name val="Aptos Narrow"/>
      <scheme val="minor"/>
    </font>
    <font>
      <sz val="14"/>
      <color rgb="FF000000"/>
      <name val="Aptos Narrow"/>
      <family val="2"/>
      <scheme val="minor"/>
    </font>
    <font>
      <sz val="12"/>
      <color rgb="FF9C0006"/>
      <name val="Aptos Narrow"/>
      <scheme val="minor"/>
    </font>
    <font>
      <b/>
      <sz val="14"/>
      <color rgb="FF000000"/>
      <name val="Aptos Narrow"/>
      <scheme val="minor"/>
    </font>
  </fonts>
  <fills count="10">
    <fill>
      <patternFill patternType="none"/>
    </fill>
    <fill>
      <patternFill patternType="gray125"/>
    </fill>
    <fill>
      <patternFill patternType="solid">
        <fgColor theme="0"/>
        <bgColor indexed="64"/>
      </patternFill>
    </fill>
    <fill>
      <patternFill patternType="solid">
        <fgColor rgb="FF000091"/>
        <bgColor indexed="64"/>
      </patternFill>
    </fill>
    <fill>
      <patternFill patternType="solid">
        <fgColor rgb="FF000091"/>
        <bgColor rgb="FF2D77D0"/>
      </patternFill>
    </fill>
    <fill>
      <patternFill patternType="solid">
        <fgColor rgb="FF000091"/>
        <bgColor rgb="FFC81A71"/>
      </patternFill>
    </fill>
    <fill>
      <patternFill patternType="solid">
        <fgColor rgb="FFFFFFFF"/>
        <bgColor rgb="FF000000"/>
      </patternFill>
    </fill>
    <fill>
      <patternFill patternType="solid">
        <fgColor rgb="FFC6EFCE"/>
        <bgColor rgb="FF000000"/>
      </patternFill>
    </fill>
    <fill>
      <patternFill patternType="solid">
        <fgColor rgb="FFFFC7CE"/>
        <bgColor rgb="FF000000"/>
      </patternFill>
    </fill>
    <fill>
      <patternFill patternType="solid">
        <fgColor rgb="FFC6EFCE"/>
        <bgColor indexed="64"/>
      </patternFill>
    </fill>
  </fills>
  <borders count="15">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50">
    <xf numFmtId="0" fontId="0" fillId="0" borderId="0" xfId="0"/>
    <xf numFmtId="0" fontId="3" fillId="0" borderId="0" xfId="0" applyFont="1"/>
    <xf numFmtId="0" fontId="4" fillId="0" borderId="2" xfId="0" applyFont="1" applyBorder="1" applyAlignment="1">
      <alignment horizontal="center" vertical="center" wrapText="1"/>
    </xf>
    <xf numFmtId="0" fontId="5" fillId="0" borderId="2" xfId="0" applyFont="1" applyBorder="1" applyAlignment="1">
      <alignment horizontal="left" vertical="center" wrapText="1"/>
    </xf>
    <xf numFmtId="0" fontId="7" fillId="3" borderId="5" xfId="0" applyFont="1" applyFill="1" applyBorder="1"/>
    <xf numFmtId="0" fontId="6" fillId="2" borderId="6" xfId="0" applyFont="1" applyFill="1" applyBorder="1" applyAlignment="1">
      <alignment horizontal="left" vertical="top"/>
    </xf>
    <xf numFmtId="0" fontId="8" fillId="0" borderId="0" xfId="0" applyFont="1" applyAlignment="1">
      <alignment horizontal="center" vertical="center" wrapText="1"/>
    </xf>
    <xf numFmtId="0" fontId="11" fillId="3" borderId="5" xfId="0" applyFont="1" applyFill="1" applyBorder="1"/>
    <xf numFmtId="0" fontId="3" fillId="0" borderId="5" xfId="0" quotePrefix="1" applyFont="1" applyBorder="1" applyAlignment="1">
      <alignment horizontal="left" vertical="top" wrapText="1"/>
    </xf>
    <xf numFmtId="0" fontId="3" fillId="0" borderId="5" xfId="0" quotePrefix="1" applyFont="1" applyBorder="1" applyAlignment="1">
      <alignment horizontal="left" vertical="top"/>
    </xf>
    <xf numFmtId="0" fontId="15" fillId="6" borderId="6" xfId="0" applyFont="1" applyFill="1" applyBorder="1" applyAlignment="1">
      <alignment horizontal="left" vertical="top"/>
    </xf>
    <xf numFmtId="0" fontId="3" fillId="0" borderId="6" xfId="0" applyFont="1" applyBorder="1" applyAlignment="1">
      <alignment horizontal="left" vertical="top" wrapText="1"/>
    </xf>
    <xf numFmtId="0" fontId="10" fillId="0" borderId="6" xfId="0" applyFont="1" applyBorder="1" applyAlignment="1">
      <alignment horizontal="right" vertical="top"/>
    </xf>
    <xf numFmtId="0" fontId="10" fillId="0" borderId="6" xfId="0" applyFont="1" applyBorder="1"/>
    <xf numFmtId="9" fontId="13" fillId="0" borderId="6" xfId="1" applyFont="1" applyFill="1" applyBorder="1"/>
    <xf numFmtId="0" fontId="10" fillId="0" borderId="11" xfId="0" applyFont="1" applyBorder="1"/>
    <xf numFmtId="0" fontId="10" fillId="0" borderId="11" xfId="0" applyFont="1" applyBorder="1" applyAlignment="1">
      <alignment horizontal="right"/>
    </xf>
    <xf numFmtId="9" fontId="13" fillId="0" borderId="11" xfId="0" applyNumberFormat="1" applyFont="1" applyBorder="1"/>
    <xf numFmtId="14" fontId="10" fillId="0" borderId="13" xfId="0" applyNumberFormat="1" applyFont="1" applyBorder="1"/>
    <xf numFmtId="0" fontId="12" fillId="0" borderId="11" xfId="0" applyFont="1" applyBorder="1" applyAlignment="1">
      <alignment vertical="center" wrapText="1"/>
    </xf>
    <xf numFmtId="0" fontId="13" fillId="0" borderId="12" xfId="0" applyFont="1" applyBorder="1" applyAlignment="1">
      <alignment horizontal="right"/>
    </xf>
    <xf numFmtId="0" fontId="7" fillId="3" borderId="14" xfId="0" applyFont="1" applyFill="1" applyBorder="1"/>
    <xf numFmtId="0" fontId="16" fillId="8" borderId="6" xfId="0" applyFont="1" applyFill="1" applyBorder="1" applyAlignment="1">
      <alignment horizontal="left" vertical="top" wrapText="1"/>
    </xf>
    <xf numFmtId="0" fontId="14" fillId="7" borderId="6" xfId="0" applyFont="1" applyFill="1" applyBorder="1" applyAlignment="1">
      <alignment horizontal="left" vertical="top" wrapText="1"/>
    </xf>
    <xf numFmtId="0" fontId="2" fillId="4" borderId="4" xfId="0" applyFont="1" applyFill="1" applyBorder="1" applyAlignment="1">
      <alignment horizontal="center" vertical="center" textRotation="90" wrapText="1"/>
    </xf>
    <xf numFmtId="0" fontId="2" fillId="4" borderId="3" xfId="0" applyFont="1" applyFill="1" applyBorder="1" applyAlignment="1">
      <alignment horizontal="center" vertical="center" textRotation="90" wrapText="1"/>
    </xf>
    <xf numFmtId="0" fontId="2" fillId="4" borderId="1" xfId="0" applyFont="1" applyFill="1" applyBorder="1" applyAlignment="1">
      <alignment horizontal="center" vertical="center" textRotation="90" wrapText="1"/>
    </xf>
    <xf numFmtId="0" fontId="12" fillId="0" borderId="6" xfId="0" applyFont="1" applyBorder="1" applyAlignment="1">
      <alignment horizontal="left" vertical="top" wrapText="1"/>
    </xf>
    <xf numFmtId="0" fontId="12" fillId="0" borderId="8" xfId="0" applyFont="1" applyBorder="1" applyAlignment="1">
      <alignment horizontal="left" vertical="top" wrapText="1"/>
    </xf>
    <xf numFmtId="0" fontId="12" fillId="0" borderId="9" xfId="0" applyFont="1" applyBorder="1" applyAlignment="1">
      <alignment horizontal="left" vertical="top" wrapText="1"/>
    </xf>
    <xf numFmtId="0" fontId="3" fillId="0" borderId="6" xfId="0" applyFont="1" applyBorder="1" applyAlignment="1">
      <alignment horizontal="left" vertical="top"/>
    </xf>
    <xf numFmtId="0" fontId="3" fillId="0" borderId="8" xfId="0" applyFont="1" applyBorder="1" applyAlignment="1">
      <alignment horizontal="left" vertical="top"/>
    </xf>
    <xf numFmtId="0" fontId="3" fillId="0" borderId="9" xfId="0" applyFont="1" applyBorder="1" applyAlignment="1">
      <alignment horizontal="left" vertical="top"/>
    </xf>
    <xf numFmtId="0" fontId="3" fillId="0" borderId="6"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11" fillId="3" borderId="5" xfId="0" applyFont="1" applyFill="1" applyBorder="1" applyAlignment="1">
      <alignment horizontal="left"/>
    </xf>
    <xf numFmtId="0" fontId="3" fillId="0" borderId="5" xfId="0" applyFont="1" applyBorder="1" applyAlignment="1">
      <alignment horizontal="left" vertical="top" wrapText="1"/>
    </xf>
    <xf numFmtId="0" fontId="9" fillId="0" borderId="5" xfId="0" applyFont="1" applyBorder="1" applyAlignment="1">
      <alignment horizontal="left" vertical="top" wrapText="1"/>
    </xf>
    <xf numFmtId="0" fontId="2" fillId="4" borderId="7" xfId="0" applyFont="1" applyFill="1" applyBorder="1" applyAlignment="1">
      <alignment horizontal="center" vertical="center" textRotation="90" wrapText="1"/>
    </xf>
    <xf numFmtId="0" fontId="2" fillId="5" borderId="0" xfId="0" applyFont="1" applyFill="1" applyAlignment="1">
      <alignment horizontal="center" vertical="center" wrapText="1"/>
    </xf>
    <xf numFmtId="0" fontId="9" fillId="0" borderId="6" xfId="0" applyFont="1" applyBorder="1" applyAlignment="1">
      <alignment horizontal="left" vertical="top" wrapText="1"/>
    </xf>
    <xf numFmtId="0" fontId="9" fillId="0" borderId="8" xfId="0" applyFont="1" applyBorder="1" applyAlignment="1">
      <alignment horizontal="left" vertical="top" wrapText="1"/>
    </xf>
    <xf numFmtId="0" fontId="9" fillId="0" borderId="9" xfId="0" applyFont="1" applyBorder="1" applyAlignment="1">
      <alignment horizontal="left" vertical="top" wrapText="1"/>
    </xf>
    <xf numFmtId="0" fontId="17" fillId="0" borderId="10" xfId="0" applyFont="1" applyBorder="1" applyAlignment="1">
      <alignment horizontal="left" vertical="center" wrapText="1"/>
    </xf>
    <xf numFmtId="0" fontId="9" fillId="0" borderId="10" xfId="0" applyFont="1" applyBorder="1" applyAlignment="1">
      <alignment horizontal="left" vertical="center" wrapText="1"/>
    </xf>
    <xf numFmtId="0" fontId="3" fillId="9" borderId="11" xfId="0" applyFont="1" applyFill="1" applyBorder="1" applyAlignment="1">
      <alignment vertical="top" wrapText="1"/>
    </xf>
    <xf numFmtId="0" fontId="3" fillId="0" borderId="0" xfId="0" applyFont="1" applyAlignment="1">
      <alignment vertical="top" wrapText="1"/>
    </xf>
    <xf numFmtId="0" fontId="7" fillId="3" borderId="11" xfId="0" applyFont="1" applyFill="1" applyBorder="1" applyAlignment="1">
      <alignment vertical="top" wrapText="1"/>
    </xf>
    <xf numFmtId="0" fontId="3" fillId="0" borderId="11" xfId="0" applyFont="1" applyBorder="1" applyAlignment="1">
      <alignment vertical="top" wrapText="1"/>
    </xf>
  </cellXfs>
  <cellStyles count="2">
    <cellStyle name="Normal" xfId="0" builtinId="0"/>
    <cellStyle name="Pourcentage" xfId="1" builtinId="5"/>
  </cellStyles>
  <dxfs count="8">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C6EFCE"/>
      <color rgb="FF000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7"/>
  <sheetViews>
    <sheetView tabSelected="1" topLeftCell="C39" zoomScale="90" zoomScaleNormal="90" workbookViewId="0">
      <selection activeCell="F51" sqref="F51"/>
    </sheetView>
  </sheetViews>
  <sheetFormatPr defaultColWidth="10.875" defaultRowHeight="15.75"/>
  <cols>
    <col min="1" max="1" width="15" style="1" customWidth="1"/>
    <col min="2" max="2" width="10.375" style="1" bestFit="1" customWidth="1"/>
    <col min="3" max="3" width="59.875" style="1" customWidth="1"/>
    <col min="4" max="4" width="15.125" style="1" bestFit="1" customWidth="1"/>
    <col min="5" max="5" width="115.125" style="1" customWidth="1"/>
    <col min="6" max="6" width="20.25" style="47" customWidth="1"/>
    <col min="7" max="16384" width="10.875" style="1"/>
  </cols>
  <sheetData>
    <row r="1" spans="1:6" ht="32.1" customHeight="1">
      <c r="A1" s="40" t="s">
        <v>0</v>
      </c>
      <c r="B1" s="40"/>
      <c r="C1" s="40"/>
      <c r="D1" s="40"/>
    </row>
    <row r="2" spans="1:6" ht="18.75">
      <c r="A2" s="44" t="s">
        <v>1</v>
      </c>
      <c r="B2" s="45"/>
      <c r="C2" s="45"/>
      <c r="D2" s="19" t="s">
        <v>2</v>
      </c>
      <c r="E2" s="20" t="s">
        <v>3</v>
      </c>
    </row>
    <row r="3" spans="1:6" ht="18.75">
      <c r="A3" s="38" t="s">
        <v>4</v>
      </c>
      <c r="B3" s="38"/>
      <c r="C3" s="38"/>
      <c r="D3" s="18">
        <v>45757</v>
      </c>
      <c r="E3" s="16" t="s">
        <v>5</v>
      </c>
    </row>
    <row r="4" spans="1:6" ht="18.75">
      <c r="A4" s="41" t="s">
        <v>6</v>
      </c>
      <c r="B4" s="42"/>
      <c r="C4" s="43"/>
      <c r="D4" s="12" t="s">
        <v>7</v>
      </c>
      <c r="E4" s="16" t="s">
        <v>8</v>
      </c>
    </row>
    <row r="5" spans="1:6" ht="15.95" customHeight="1">
      <c r="A5" s="38" t="s">
        <v>9</v>
      </c>
      <c r="B5" s="38"/>
      <c r="C5" s="38"/>
      <c r="D5" s="13">
        <f xml:space="preserve"> COUNTIF($D$14:$D$119,"Conforme")</f>
        <v>10</v>
      </c>
      <c r="E5" s="15">
        <v>17</v>
      </c>
    </row>
    <row r="6" spans="1:6" ht="18.75">
      <c r="A6" s="38" t="s">
        <v>10</v>
      </c>
      <c r="B6" s="38"/>
      <c r="C6" s="38"/>
      <c r="D6" s="13">
        <f xml:space="preserve"> COUNTIF($D$14:$D$119,"Non conforme")</f>
        <v>7</v>
      </c>
      <c r="E6" s="15">
        <v>0</v>
      </c>
    </row>
    <row r="7" spans="1:6" ht="18.75">
      <c r="A7" s="38" t="s">
        <v>11</v>
      </c>
      <c r="B7" s="38"/>
      <c r="C7" s="38"/>
      <c r="D7" s="13">
        <f xml:space="preserve"> COUNTIF($D$14:$D$119,"Non applicable")</f>
        <v>89</v>
      </c>
      <c r="E7" s="15">
        <v>89</v>
      </c>
    </row>
    <row r="8" spans="1:6" ht="18.75">
      <c r="A8" s="38" t="s">
        <v>12</v>
      </c>
      <c r="B8" s="38"/>
      <c r="C8" s="38"/>
      <c r="D8" s="13">
        <f xml:space="preserve"> COUNTIF($D$14:$D$119,"Dérogé")</f>
        <v>0</v>
      </c>
      <c r="E8" s="15">
        <v>0</v>
      </c>
    </row>
    <row r="9" spans="1:6" ht="18.75">
      <c r="A9" s="38" t="s">
        <v>13</v>
      </c>
      <c r="B9" s="38"/>
      <c r="C9" s="38"/>
      <c r="D9" s="13">
        <f xml:space="preserve"> COUNTIF($D$14:$D$119,"Non testé")</f>
        <v>0</v>
      </c>
      <c r="E9" s="15">
        <v>0</v>
      </c>
    </row>
    <row r="10" spans="1:6" ht="18.95" customHeight="1">
      <c r="A10" s="27" t="s">
        <v>14</v>
      </c>
      <c r="B10" s="28"/>
      <c r="C10" s="29"/>
      <c r="D10" s="14">
        <f>IF(SUM(D5:D6)&gt;0,D5/SUM(D5:D6),"")</f>
        <v>0.58823529411764708</v>
      </c>
      <c r="E10" s="17">
        <v>1</v>
      </c>
    </row>
    <row r="11" spans="1:6" ht="18.95" customHeight="1">
      <c r="A11" s="27" t="s">
        <v>15</v>
      </c>
      <c r="B11" s="28"/>
      <c r="C11" s="29"/>
      <c r="D11" s="14">
        <f>IF(SUM(D5:D6)&gt;0,1-ROUND(D10,2),"")</f>
        <v>0.41000000000000003</v>
      </c>
      <c r="E11" s="17">
        <v>0</v>
      </c>
    </row>
    <row r="12" spans="1:6">
      <c r="A12" s="6"/>
      <c r="B12" s="6"/>
      <c r="C12" s="6"/>
    </row>
    <row r="13" spans="1:6" ht="18.75">
      <c r="A13" s="4" t="s">
        <v>16</v>
      </c>
      <c r="B13" s="4" t="s">
        <v>17</v>
      </c>
      <c r="C13" s="4" t="s">
        <v>18</v>
      </c>
      <c r="D13" s="4" t="s">
        <v>19</v>
      </c>
      <c r="E13" s="21" t="s">
        <v>20</v>
      </c>
      <c r="F13" s="48" t="s">
        <v>21</v>
      </c>
    </row>
    <row r="14" spans="1:6" ht="18.75">
      <c r="A14" s="39" t="s">
        <v>22</v>
      </c>
      <c r="B14" s="2" t="s">
        <v>23</v>
      </c>
      <c r="C14" s="3" t="s">
        <v>24</v>
      </c>
      <c r="D14" s="5" t="s">
        <v>25</v>
      </c>
      <c r="E14" s="11"/>
      <c r="F14" s="49"/>
    </row>
    <row r="15" spans="1:6" ht="32.25">
      <c r="A15" s="25"/>
      <c r="B15" s="2" t="s">
        <v>26</v>
      </c>
      <c r="C15" s="3" t="s">
        <v>27</v>
      </c>
      <c r="D15" s="5" t="s">
        <v>28</v>
      </c>
      <c r="E15" s="22" t="s">
        <v>29</v>
      </c>
      <c r="F15" s="46" t="s">
        <v>30</v>
      </c>
    </row>
    <row r="16" spans="1:6" ht="30.75">
      <c r="A16" s="25"/>
      <c r="B16" s="2" t="s">
        <v>31</v>
      </c>
      <c r="C16" s="3" t="s">
        <v>32</v>
      </c>
      <c r="D16" s="5" t="s">
        <v>25</v>
      </c>
      <c r="E16" s="11"/>
      <c r="F16" s="49"/>
    </row>
    <row r="17" spans="1:6" ht="48">
      <c r="A17" s="25"/>
      <c r="B17" s="2" t="s">
        <v>33</v>
      </c>
      <c r="C17" s="3" t="s">
        <v>34</v>
      </c>
      <c r="D17" s="5" t="s">
        <v>25</v>
      </c>
      <c r="E17" s="11"/>
      <c r="F17" s="49"/>
    </row>
    <row r="18" spans="1:6" ht="32.25">
      <c r="A18" s="25"/>
      <c r="B18" s="2" t="s">
        <v>35</v>
      </c>
      <c r="C18" s="3" t="s">
        <v>36</v>
      </c>
      <c r="D18" s="5" t="s">
        <v>25</v>
      </c>
      <c r="E18" s="11"/>
      <c r="F18" s="49"/>
    </row>
    <row r="19" spans="1:6" ht="32.25">
      <c r="A19" s="25"/>
      <c r="B19" s="2" t="s">
        <v>37</v>
      </c>
      <c r="C19" s="3" t="s">
        <v>38</v>
      </c>
      <c r="D19" s="5" t="s">
        <v>25</v>
      </c>
      <c r="E19" s="11"/>
      <c r="F19" s="49"/>
    </row>
    <row r="20" spans="1:6" ht="32.25">
      <c r="A20" s="25"/>
      <c r="B20" s="2" t="s">
        <v>39</v>
      </c>
      <c r="C20" s="3" t="s">
        <v>40</v>
      </c>
      <c r="D20" s="5" t="s">
        <v>25</v>
      </c>
      <c r="E20" s="11"/>
      <c r="F20" s="49"/>
    </row>
    <row r="21" spans="1:6" ht="48">
      <c r="A21" s="25"/>
      <c r="B21" s="2" t="s">
        <v>41</v>
      </c>
      <c r="C21" s="3" t="s">
        <v>42</v>
      </c>
      <c r="D21" s="5" t="s">
        <v>25</v>
      </c>
      <c r="E21" s="11"/>
      <c r="F21" s="49"/>
    </row>
    <row r="22" spans="1:6" ht="32.25">
      <c r="A22" s="26"/>
      <c r="B22" s="2" t="s">
        <v>43</v>
      </c>
      <c r="C22" s="3" t="s">
        <v>44</v>
      </c>
      <c r="D22" s="5" t="s">
        <v>25</v>
      </c>
      <c r="E22" s="11"/>
      <c r="F22" s="49"/>
    </row>
    <row r="23" spans="1:6" ht="18.75">
      <c r="A23" s="24" t="s">
        <v>45</v>
      </c>
      <c r="B23" s="2" t="s">
        <v>46</v>
      </c>
      <c r="C23" s="3" t="s">
        <v>47</v>
      </c>
      <c r="D23" s="5" t="s">
        <v>25</v>
      </c>
      <c r="E23" s="11"/>
      <c r="F23" s="49"/>
    </row>
    <row r="24" spans="1:6" ht="32.25">
      <c r="A24" s="26"/>
      <c r="B24" s="2" t="s">
        <v>48</v>
      </c>
      <c r="C24" s="3" t="s">
        <v>49</v>
      </c>
      <c r="D24" s="5" t="s">
        <v>25</v>
      </c>
      <c r="E24" s="11"/>
      <c r="F24" s="49"/>
    </row>
    <row r="25" spans="1:6" ht="32.25">
      <c r="A25" s="24" t="s">
        <v>50</v>
      </c>
      <c r="B25" s="2" t="s">
        <v>51</v>
      </c>
      <c r="C25" s="3" t="s">
        <v>52</v>
      </c>
      <c r="D25" s="5" t="s">
        <v>25</v>
      </c>
      <c r="E25" s="11"/>
      <c r="F25" s="49"/>
    </row>
    <row r="26" spans="1:6" ht="308.25">
      <c r="A26" s="25"/>
      <c r="B26" s="2" t="s">
        <v>53</v>
      </c>
      <c r="C26" s="3" t="s">
        <v>54</v>
      </c>
      <c r="D26" s="5" t="s">
        <v>28</v>
      </c>
      <c r="E26" s="11" t="s">
        <v>55</v>
      </c>
      <c r="F26" s="46" t="s">
        <v>30</v>
      </c>
    </row>
    <row r="27" spans="1:6" ht="384">
      <c r="A27" s="26"/>
      <c r="B27" s="2" t="s">
        <v>56</v>
      </c>
      <c r="C27" s="3" t="s">
        <v>57</v>
      </c>
      <c r="D27" s="5" t="s">
        <v>28</v>
      </c>
      <c r="E27" s="11" t="s">
        <v>58</v>
      </c>
      <c r="F27" s="46" t="s">
        <v>30</v>
      </c>
    </row>
    <row r="28" spans="1:6" ht="32.25">
      <c r="A28" s="24" t="s">
        <v>59</v>
      </c>
      <c r="B28" s="2" t="s">
        <v>60</v>
      </c>
      <c r="C28" s="3" t="s">
        <v>61</v>
      </c>
      <c r="D28" s="5" t="s">
        <v>25</v>
      </c>
      <c r="E28" s="11"/>
      <c r="F28" s="49"/>
    </row>
    <row r="29" spans="1:6" ht="48">
      <c r="A29" s="25"/>
      <c r="B29" s="2" t="s">
        <v>62</v>
      </c>
      <c r="C29" s="3" t="s">
        <v>63</v>
      </c>
      <c r="D29" s="5" t="s">
        <v>25</v>
      </c>
      <c r="E29" s="11"/>
      <c r="F29" s="49"/>
    </row>
    <row r="30" spans="1:6" ht="32.25">
      <c r="A30" s="25"/>
      <c r="B30" s="2" t="s">
        <v>64</v>
      </c>
      <c r="C30" s="3" t="s">
        <v>65</v>
      </c>
      <c r="D30" s="5" t="s">
        <v>25</v>
      </c>
      <c r="E30" s="11"/>
      <c r="F30" s="49"/>
    </row>
    <row r="31" spans="1:6" ht="32.25">
      <c r="A31" s="25"/>
      <c r="B31" s="2" t="s">
        <v>66</v>
      </c>
      <c r="C31" s="3" t="s">
        <v>67</v>
      </c>
      <c r="D31" s="5" t="s">
        <v>25</v>
      </c>
      <c r="E31" s="11"/>
      <c r="F31" s="49"/>
    </row>
    <row r="32" spans="1:6" ht="32.25">
      <c r="A32" s="25"/>
      <c r="B32" s="2" t="s">
        <v>68</v>
      </c>
      <c r="C32" s="3" t="s">
        <v>69</v>
      </c>
      <c r="D32" s="5" t="s">
        <v>25</v>
      </c>
      <c r="E32" s="11"/>
      <c r="F32" s="49"/>
    </row>
    <row r="33" spans="1:6" ht="32.25">
      <c r="A33" s="25"/>
      <c r="B33" s="2" t="s">
        <v>70</v>
      </c>
      <c r="C33" s="3" t="s">
        <v>71</v>
      </c>
      <c r="D33" s="5" t="s">
        <v>25</v>
      </c>
      <c r="E33" s="11"/>
      <c r="F33" s="49"/>
    </row>
    <row r="34" spans="1:6" ht="32.25">
      <c r="A34" s="25"/>
      <c r="B34" s="2" t="s">
        <v>72</v>
      </c>
      <c r="C34" s="3" t="s">
        <v>73</v>
      </c>
      <c r="D34" s="5" t="s">
        <v>25</v>
      </c>
      <c r="E34" s="11"/>
      <c r="F34" s="49"/>
    </row>
    <row r="35" spans="1:6" ht="32.25">
      <c r="A35" s="25"/>
      <c r="B35" s="2" t="s">
        <v>74</v>
      </c>
      <c r="C35" s="3" t="s">
        <v>75</v>
      </c>
      <c r="D35" s="5" t="s">
        <v>25</v>
      </c>
      <c r="E35" s="11"/>
      <c r="F35" s="49"/>
    </row>
    <row r="36" spans="1:6" ht="32.25">
      <c r="A36" s="25"/>
      <c r="B36" s="2" t="s">
        <v>76</v>
      </c>
      <c r="C36" s="3" t="s">
        <v>77</v>
      </c>
      <c r="D36" s="5" t="s">
        <v>25</v>
      </c>
      <c r="E36" s="11"/>
      <c r="F36" s="49"/>
    </row>
    <row r="37" spans="1:6" ht="32.25">
      <c r="A37" s="25"/>
      <c r="B37" s="2" t="s">
        <v>78</v>
      </c>
      <c r="C37" s="3" t="s">
        <v>79</v>
      </c>
      <c r="D37" s="5" t="s">
        <v>25</v>
      </c>
      <c r="E37" s="11"/>
      <c r="F37" s="49"/>
    </row>
    <row r="38" spans="1:6" ht="32.25">
      <c r="A38" s="25"/>
      <c r="B38" s="2" t="s">
        <v>80</v>
      </c>
      <c r="C38" s="3" t="s">
        <v>81</v>
      </c>
      <c r="D38" s="5" t="s">
        <v>25</v>
      </c>
      <c r="E38" s="11"/>
      <c r="F38" s="49"/>
    </row>
    <row r="39" spans="1:6" ht="32.25">
      <c r="A39" s="25"/>
      <c r="B39" s="2" t="s">
        <v>82</v>
      </c>
      <c r="C39" s="3" t="s">
        <v>83</v>
      </c>
      <c r="D39" s="5" t="s">
        <v>25</v>
      </c>
      <c r="E39" s="11"/>
      <c r="F39" s="49"/>
    </row>
    <row r="40" spans="1:6" ht="32.25">
      <c r="A40" s="26"/>
      <c r="B40" s="2" t="s">
        <v>84</v>
      </c>
      <c r="C40" s="3" t="s">
        <v>85</v>
      </c>
      <c r="D40" s="5" t="s">
        <v>25</v>
      </c>
      <c r="E40" s="11"/>
      <c r="F40" s="49"/>
    </row>
    <row r="41" spans="1:6" ht="18.75">
      <c r="A41" s="24" t="s">
        <v>86</v>
      </c>
      <c r="B41" s="2" t="s">
        <v>87</v>
      </c>
      <c r="C41" s="3" t="s">
        <v>88</v>
      </c>
      <c r="D41" s="5" t="s">
        <v>25</v>
      </c>
      <c r="E41" s="11"/>
      <c r="F41" s="49"/>
    </row>
    <row r="42" spans="1:6" ht="32.25">
      <c r="A42" s="25"/>
      <c r="B42" s="2" t="s">
        <v>89</v>
      </c>
      <c r="C42" s="3" t="s">
        <v>90</v>
      </c>
      <c r="D42" s="5" t="s">
        <v>25</v>
      </c>
      <c r="E42" s="11"/>
      <c r="F42" s="49"/>
    </row>
    <row r="43" spans="1:6" ht="32.25">
      <c r="A43" s="25"/>
      <c r="B43" s="2" t="s">
        <v>91</v>
      </c>
      <c r="C43" s="3" t="s">
        <v>92</v>
      </c>
      <c r="D43" s="5" t="s">
        <v>25</v>
      </c>
      <c r="E43" s="11"/>
      <c r="F43" s="49"/>
    </row>
    <row r="44" spans="1:6" ht="32.25">
      <c r="A44" s="25"/>
      <c r="B44" s="2" t="s">
        <v>93</v>
      </c>
      <c r="C44" s="3" t="s">
        <v>94</v>
      </c>
      <c r="D44" s="5" t="s">
        <v>25</v>
      </c>
      <c r="E44" s="11"/>
      <c r="F44" s="49"/>
    </row>
    <row r="45" spans="1:6" ht="18.75">
      <c r="A45" s="25"/>
      <c r="B45" s="2" t="s">
        <v>95</v>
      </c>
      <c r="C45" s="3" t="s">
        <v>96</v>
      </c>
      <c r="D45" s="5" t="s">
        <v>25</v>
      </c>
      <c r="E45" s="11"/>
      <c r="F45" s="49"/>
    </row>
    <row r="46" spans="1:6" ht="32.25">
      <c r="A46" s="25"/>
      <c r="B46" s="2" t="s">
        <v>97</v>
      </c>
      <c r="C46" s="3" t="s">
        <v>98</v>
      </c>
      <c r="D46" s="5" t="s">
        <v>25</v>
      </c>
      <c r="E46" s="11"/>
      <c r="F46" s="49"/>
    </row>
    <row r="47" spans="1:6" ht="48">
      <c r="A47" s="25"/>
      <c r="B47" s="2" t="s">
        <v>99</v>
      </c>
      <c r="C47" s="3" t="s">
        <v>100</v>
      </c>
      <c r="D47" s="5" t="s">
        <v>25</v>
      </c>
      <c r="E47" s="11"/>
      <c r="F47" s="49"/>
    </row>
    <row r="48" spans="1:6" ht="32.25">
      <c r="A48" s="26"/>
      <c r="B48" s="2" t="s">
        <v>101</v>
      </c>
      <c r="C48" s="3" t="s">
        <v>102</v>
      </c>
      <c r="D48" s="5" t="s">
        <v>25</v>
      </c>
      <c r="E48" s="11"/>
      <c r="F48" s="49"/>
    </row>
    <row r="49" spans="1:6" ht="18.75">
      <c r="A49" s="24" t="s">
        <v>103</v>
      </c>
      <c r="B49" s="2" t="s">
        <v>104</v>
      </c>
      <c r="C49" s="3" t="s">
        <v>105</v>
      </c>
      <c r="D49" s="5" t="s">
        <v>25</v>
      </c>
      <c r="E49" s="11"/>
      <c r="F49" s="49"/>
    </row>
    <row r="50" spans="1:6" ht="18.75">
      <c r="A50" s="26"/>
      <c r="B50" s="2" t="s">
        <v>106</v>
      </c>
      <c r="C50" s="3" t="s">
        <v>107</v>
      </c>
      <c r="D50" s="5" t="s">
        <v>25</v>
      </c>
      <c r="E50" s="11"/>
      <c r="F50" s="49"/>
    </row>
    <row r="51" spans="1:6" ht="138.75">
      <c r="A51" s="24" t="s">
        <v>108</v>
      </c>
      <c r="B51" s="2" t="s">
        <v>109</v>
      </c>
      <c r="C51" s="3" t="s">
        <v>110</v>
      </c>
      <c r="D51" s="5" t="s">
        <v>28</v>
      </c>
      <c r="E51" s="11" t="s">
        <v>111</v>
      </c>
      <c r="F51" s="46" t="s">
        <v>112</v>
      </c>
    </row>
    <row r="52" spans="1:6" ht="32.25">
      <c r="A52" s="25"/>
      <c r="B52" s="2" t="s">
        <v>113</v>
      </c>
      <c r="C52" s="3" t="s">
        <v>114</v>
      </c>
      <c r="D52" s="5" t="s">
        <v>25</v>
      </c>
      <c r="E52" s="11"/>
      <c r="F52" s="49"/>
    </row>
    <row r="53" spans="1:6" ht="32.25">
      <c r="A53" s="25"/>
      <c r="B53" s="2" t="s">
        <v>115</v>
      </c>
      <c r="C53" s="3" t="s">
        <v>116</v>
      </c>
      <c r="D53" s="5" t="s">
        <v>117</v>
      </c>
      <c r="E53" s="11" t="s">
        <v>118</v>
      </c>
      <c r="F53" s="49"/>
    </row>
    <row r="54" spans="1:6" ht="32.25">
      <c r="A54" s="25"/>
      <c r="B54" s="2" t="s">
        <v>119</v>
      </c>
      <c r="C54" s="3" t="s">
        <v>120</v>
      </c>
      <c r="D54" s="5" t="s">
        <v>25</v>
      </c>
      <c r="E54" s="11"/>
      <c r="F54" s="49"/>
    </row>
    <row r="55" spans="1:6" ht="32.25">
      <c r="A55" s="26"/>
      <c r="B55" s="2" t="s">
        <v>121</v>
      </c>
      <c r="C55" s="3" t="s">
        <v>122</v>
      </c>
      <c r="D55" s="5" t="s">
        <v>28</v>
      </c>
      <c r="E55" s="11" t="s">
        <v>123</v>
      </c>
      <c r="F55" s="46" t="s">
        <v>30</v>
      </c>
    </row>
    <row r="56" spans="1:6" ht="18.75">
      <c r="A56" s="24" t="s">
        <v>124</v>
      </c>
      <c r="B56" s="2" t="s">
        <v>125</v>
      </c>
      <c r="C56" s="3" t="s">
        <v>126</v>
      </c>
      <c r="D56" s="5" t="s">
        <v>25</v>
      </c>
      <c r="E56" s="11"/>
      <c r="F56" s="49"/>
    </row>
    <row r="57" spans="1:6" ht="32.25">
      <c r="A57" s="25"/>
      <c r="B57" s="2" t="s">
        <v>127</v>
      </c>
      <c r="C57" s="3" t="s">
        <v>128</v>
      </c>
      <c r="D57" s="5" t="s">
        <v>117</v>
      </c>
      <c r="E57" s="11" t="s">
        <v>129</v>
      </c>
      <c r="F57" s="49"/>
    </row>
    <row r="58" spans="1:6" ht="18.75">
      <c r="A58" s="25"/>
      <c r="B58" s="2" t="s">
        <v>130</v>
      </c>
      <c r="C58" s="3" t="s">
        <v>131</v>
      </c>
      <c r="D58" s="10" t="s">
        <v>25</v>
      </c>
      <c r="E58" s="11"/>
      <c r="F58" s="49"/>
    </row>
    <row r="59" spans="1:6" ht="32.25">
      <c r="A59" s="25"/>
      <c r="B59" s="2" t="s">
        <v>132</v>
      </c>
      <c r="C59" s="3" t="s">
        <v>133</v>
      </c>
      <c r="D59" s="10" t="s">
        <v>25</v>
      </c>
      <c r="E59" s="11"/>
      <c r="F59" s="49"/>
    </row>
    <row r="60" spans="1:6" ht="18.75">
      <c r="A60" s="25"/>
      <c r="B60" s="2" t="s">
        <v>134</v>
      </c>
      <c r="C60" s="3" t="s">
        <v>135</v>
      </c>
      <c r="D60" s="10" t="s">
        <v>25</v>
      </c>
      <c r="E60" s="11"/>
      <c r="F60" s="49"/>
    </row>
    <row r="61" spans="1:6" ht="18.75">
      <c r="A61" s="25"/>
      <c r="B61" s="2" t="s">
        <v>136</v>
      </c>
      <c r="C61" s="3" t="s">
        <v>137</v>
      </c>
      <c r="D61" s="10" t="s">
        <v>25</v>
      </c>
      <c r="E61" s="11"/>
      <c r="F61" s="49"/>
    </row>
    <row r="62" spans="1:6" ht="61.5">
      <c r="A62" s="25"/>
      <c r="B62" s="2" t="s">
        <v>138</v>
      </c>
      <c r="C62" s="3" t="s">
        <v>139</v>
      </c>
      <c r="D62" s="5" t="s">
        <v>28</v>
      </c>
      <c r="E62" s="11" t="s">
        <v>140</v>
      </c>
      <c r="F62" s="46" t="s">
        <v>30</v>
      </c>
    </row>
    <row r="63" spans="1:6" ht="32.25">
      <c r="A63" s="25"/>
      <c r="B63" s="2" t="s">
        <v>141</v>
      </c>
      <c r="C63" s="3" t="s">
        <v>142</v>
      </c>
      <c r="D63" s="10" t="s">
        <v>25</v>
      </c>
      <c r="E63" s="11"/>
      <c r="F63" s="49"/>
    </row>
    <row r="64" spans="1:6" ht="32.25">
      <c r="A64" s="25"/>
      <c r="B64" s="2" t="s">
        <v>143</v>
      </c>
      <c r="C64" s="3" t="s">
        <v>144</v>
      </c>
      <c r="D64" s="10" t="s">
        <v>25</v>
      </c>
      <c r="E64" s="11"/>
      <c r="F64" s="49"/>
    </row>
    <row r="65" spans="1:6" ht="32.25">
      <c r="A65" s="26"/>
      <c r="B65" s="2" t="s">
        <v>145</v>
      </c>
      <c r="C65" s="3" t="s">
        <v>146</v>
      </c>
      <c r="D65" s="10" t="s">
        <v>25</v>
      </c>
      <c r="E65" s="11"/>
      <c r="F65" s="49"/>
    </row>
    <row r="66" spans="1:6" ht="32.25">
      <c r="A66" s="24" t="s">
        <v>147</v>
      </c>
      <c r="B66" s="2" t="s">
        <v>148</v>
      </c>
      <c r="C66" s="3" t="s">
        <v>149</v>
      </c>
      <c r="D66" s="10" t="s">
        <v>25</v>
      </c>
      <c r="E66" s="11"/>
      <c r="F66" s="49"/>
    </row>
    <row r="67" spans="1:6" ht="32.25">
      <c r="A67" s="25"/>
      <c r="B67" s="2" t="s">
        <v>150</v>
      </c>
      <c r="C67" s="3" t="s">
        <v>151</v>
      </c>
      <c r="D67" s="10" t="s">
        <v>25</v>
      </c>
      <c r="E67" s="11"/>
      <c r="F67" s="49"/>
    </row>
    <row r="68" spans="1:6" ht="18.75">
      <c r="A68" s="25"/>
      <c r="B68" s="2" t="s">
        <v>152</v>
      </c>
      <c r="C68" s="3" t="s">
        <v>153</v>
      </c>
      <c r="D68" s="10" t="s">
        <v>25</v>
      </c>
      <c r="E68" s="11"/>
      <c r="F68" s="49"/>
    </row>
    <row r="69" spans="1:6" ht="18.75">
      <c r="A69" s="26"/>
      <c r="B69" s="2" t="s">
        <v>154</v>
      </c>
      <c r="C69" s="3" t="s">
        <v>155</v>
      </c>
      <c r="D69" s="10" t="s">
        <v>25</v>
      </c>
      <c r="E69" s="11"/>
      <c r="F69" s="49"/>
    </row>
    <row r="70" spans="1:6" ht="46.5">
      <c r="A70" s="24" t="s">
        <v>156</v>
      </c>
      <c r="B70" s="2" t="s">
        <v>157</v>
      </c>
      <c r="C70" s="3" t="s">
        <v>158</v>
      </c>
      <c r="D70" s="5" t="s">
        <v>117</v>
      </c>
      <c r="E70" s="11" t="s">
        <v>159</v>
      </c>
      <c r="F70" s="49"/>
    </row>
    <row r="71" spans="1:6" ht="32.25">
      <c r="A71" s="25"/>
      <c r="B71" s="2" t="s">
        <v>160</v>
      </c>
      <c r="C71" s="3" t="s">
        <v>161</v>
      </c>
      <c r="D71" s="5" t="s">
        <v>117</v>
      </c>
      <c r="E71" s="11" t="s">
        <v>162</v>
      </c>
      <c r="F71" s="49"/>
    </row>
    <row r="72" spans="1:6" ht="32.25">
      <c r="A72" s="25"/>
      <c r="B72" s="2" t="s">
        <v>163</v>
      </c>
      <c r="C72" s="3" t="s">
        <v>164</v>
      </c>
      <c r="D72" s="5" t="s">
        <v>117</v>
      </c>
      <c r="E72" s="11" t="s">
        <v>165</v>
      </c>
      <c r="F72" s="49"/>
    </row>
    <row r="73" spans="1:6" ht="32.25">
      <c r="A73" s="25"/>
      <c r="B73" s="2" t="s">
        <v>166</v>
      </c>
      <c r="C73" s="3" t="s">
        <v>167</v>
      </c>
      <c r="D73" s="5" t="s">
        <v>117</v>
      </c>
      <c r="E73" s="11" t="s">
        <v>168</v>
      </c>
      <c r="F73" s="49"/>
    </row>
    <row r="74" spans="1:6" ht="32.25">
      <c r="A74" s="25"/>
      <c r="B74" s="2" t="s">
        <v>169</v>
      </c>
      <c r="C74" s="3" t="s">
        <v>170</v>
      </c>
      <c r="D74" s="5" t="s">
        <v>117</v>
      </c>
      <c r="E74" s="11" t="s">
        <v>171</v>
      </c>
      <c r="F74" s="49"/>
    </row>
    <row r="75" spans="1:6" ht="32.25">
      <c r="A75" s="25"/>
      <c r="B75" s="2" t="s">
        <v>172</v>
      </c>
      <c r="C75" s="3" t="s">
        <v>173</v>
      </c>
      <c r="D75" s="10" t="s">
        <v>25</v>
      </c>
      <c r="E75" s="11"/>
      <c r="F75" s="49"/>
    </row>
    <row r="76" spans="1:6" ht="32.25">
      <c r="A76" s="25"/>
      <c r="B76" s="2" t="s">
        <v>174</v>
      </c>
      <c r="C76" s="3" t="s">
        <v>175</v>
      </c>
      <c r="D76" s="5" t="s">
        <v>28</v>
      </c>
      <c r="E76" s="11" t="s">
        <v>176</v>
      </c>
      <c r="F76" s="46" t="s">
        <v>30</v>
      </c>
    </row>
    <row r="77" spans="1:6" ht="32.25">
      <c r="A77" s="25"/>
      <c r="B77" s="2" t="s">
        <v>177</v>
      </c>
      <c r="C77" s="3" t="s">
        <v>178</v>
      </c>
      <c r="D77" s="10" t="s">
        <v>25</v>
      </c>
      <c r="E77" s="11"/>
      <c r="F77" s="49"/>
    </row>
    <row r="78" spans="1:6" ht="32.25">
      <c r="A78" s="25"/>
      <c r="B78" s="2" t="s">
        <v>179</v>
      </c>
      <c r="C78" s="3" t="s">
        <v>180</v>
      </c>
      <c r="D78" s="10" t="s">
        <v>25</v>
      </c>
      <c r="E78" s="11"/>
      <c r="F78" s="49"/>
    </row>
    <row r="79" spans="1:6" ht="48">
      <c r="A79" s="25"/>
      <c r="B79" s="2" t="s">
        <v>181</v>
      </c>
      <c r="C79" s="3" t="s">
        <v>182</v>
      </c>
      <c r="D79" s="10" t="s">
        <v>25</v>
      </c>
      <c r="E79" s="11"/>
      <c r="F79" s="49"/>
    </row>
    <row r="80" spans="1:6" ht="77.25">
      <c r="A80" s="25"/>
      <c r="B80" s="2" t="s">
        <v>183</v>
      </c>
      <c r="C80" s="3" t="s">
        <v>184</v>
      </c>
      <c r="D80" s="5" t="s">
        <v>117</v>
      </c>
      <c r="E80" s="11" t="s">
        <v>185</v>
      </c>
      <c r="F80" s="49"/>
    </row>
    <row r="81" spans="1:6" ht="108">
      <c r="A81" s="25"/>
      <c r="B81" s="2" t="s">
        <v>186</v>
      </c>
      <c r="C81" s="3" t="s">
        <v>187</v>
      </c>
      <c r="D81" s="5" t="s">
        <v>117</v>
      </c>
      <c r="E81" s="23" t="s">
        <v>188</v>
      </c>
      <c r="F81" s="49"/>
    </row>
    <row r="82" spans="1:6" ht="48">
      <c r="A82" s="25"/>
      <c r="B82" s="2" t="s">
        <v>189</v>
      </c>
      <c r="C82" s="3" t="s">
        <v>190</v>
      </c>
      <c r="D82" s="10" t="s">
        <v>25</v>
      </c>
      <c r="E82" s="11"/>
      <c r="F82" s="49"/>
    </row>
    <row r="83" spans="1:6" ht="48">
      <c r="A83" s="26"/>
      <c r="B83" s="2" t="s">
        <v>191</v>
      </c>
      <c r="C83" s="3" t="s">
        <v>192</v>
      </c>
      <c r="D83" s="10" t="s">
        <v>25</v>
      </c>
      <c r="E83" s="11"/>
      <c r="F83" s="49"/>
    </row>
    <row r="84" spans="1:6" ht="18.75">
      <c r="A84" s="24" t="s">
        <v>193</v>
      </c>
      <c r="B84" s="2" t="s">
        <v>194</v>
      </c>
      <c r="C84" s="3" t="s">
        <v>195</v>
      </c>
      <c r="D84" s="10" t="s">
        <v>25</v>
      </c>
      <c r="E84" s="11"/>
      <c r="F84" s="49"/>
    </row>
    <row r="85" spans="1:6" ht="32.25">
      <c r="A85" s="25"/>
      <c r="B85" s="2" t="s">
        <v>196</v>
      </c>
      <c r="C85" s="3" t="s">
        <v>197</v>
      </c>
      <c r="D85" s="10" t="s">
        <v>25</v>
      </c>
      <c r="E85" s="11"/>
      <c r="F85" s="49"/>
    </row>
    <row r="86" spans="1:6" ht="48">
      <c r="A86" s="25"/>
      <c r="B86" s="2" t="s">
        <v>198</v>
      </c>
      <c r="C86" s="3" t="s">
        <v>199</v>
      </c>
      <c r="D86" s="10" t="s">
        <v>25</v>
      </c>
      <c r="E86" s="11"/>
      <c r="F86" s="49"/>
    </row>
    <row r="87" spans="1:6" ht="32.25">
      <c r="A87" s="25"/>
      <c r="B87" s="2" t="s">
        <v>200</v>
      </c>
      <c r="C87" s="3" t="s">
        <v>201</v>
      </c>
      <c r="D87" s="10" t="s">
        <v>25</v>
      </c>
      <c r="E87" s="11"/>
      <c r="F87" s="49"/>
    </row>
    <row r="88" spans="1:6" ht="32.25">
      <c r="A88" s="25"/>
      <c r="B88" s="2" t="s">
        <v>202</v>
      </c>
      <c r="C88" s="3" t="s">
        <v>203</v>
      </c>
      <c r="D88" s="10" t="s">
        <v>25</v>
      </c>
      <c r="E88" s="11"/>
      <c r="F88" s="49"/>
    </row>
    <row r="89" spans="1:6" ht="32.25">
      <c r="A89" s="25"/>
      <c r="B89" s="2" t="s">
        <v>204</v>
      </c>
      <c r="C89" s="3" t="s">
        <v>205</v>
      </c>
      <c r="D89" s="10" t="s">
        <v>25</v>
      </c>
      <c r="E89" s="11"/>
      <c r="F89" s="49"/>
    </row>
    <row r="90" spans="1:6" ht="32.25">
      <c r="A90" s="25"/>
      <c r="B90" s="2" t="s">
        <v>206</v>
      </c>
      <c r="C90" s="3" t="s">
        <v>207</v>
      </c>
      <c r="D90" s="10" t="s">
        <v>25</v>
      </c>
      <c r="E90" s="11"/>
      <c r="F90" s="49"/>
    </row>
    <row r="91" spans="1:6" ht="32.25">
      <c r="A91" s="25"/>
      <c r="B91" s="2" t="s">
        <v>208</v>
      </c>
      <c r="C91" s="3" t="s">
        <v>209</v>
      </c>
      <c r="D91" s="10" t="s">
        <v>25</v>
      </c>
      <c r="E91" s="11"/>
      <c r="F91" s="49"/>
    </row>
    <row r="92" spans="1:6" ht="32.25">
      <c r="A92" s="25"/>
      <c r="B92" s="2" t="s">
        <v>210</v>
      </c>
      <c r="C92" s="3" t="s">
        <v>211</v>
      </c>
      <c r="D92" s="10" t="s">
        <v>25</v>
      </c>
      <c r="E92" s="11"/>
      <c r="F92" s="49"/>
    </row>
    <row r="93" spans="1:6" ht="32.25">
      <c r="A93" s="25"/>
      <c r="B93" s="2" t="s">
        <v>212</v>
      </c>
      <c r="C93" s="3" t="s">
        <v>213</v>
      </c>
      <c r="D93" s="10" t="s">
        <v>25</v>
      </c>
      <c r="E93" s="11"/>
      <c r="F93" s="49"/>
    </row>
    <row r="94" spans="1:6" ht="32.25">
      <c r="A94" s="25"/>
      <c r="B94" s="2" t="s">
        <v>214</v>
      </c>
      <c r="C94" s="3" t="s">
        <v>215</v>
      </c>
      <c r="D94" s="10" t="s">
        <v>25</v>
      </c>
      <c r="E94" s="11"/>
      <c r="F94" s="49"/>
    </row>
    <row r="95" spans="1:6" ht="63">
      <c r="A95" s="25"/>
      <c r="B95" s="2" t="s">
        <v>216</v>
      </c>
      <c r="C95" s="3" t="s">
        <v>217</v>
      </c>
      <c r="D95" s="10" t="s">
        <v>25</v>
      </c>
      <c r="E95" s="11"/>
      <c r="F95" s="49"/>
    </row>
    <row r="96" spans="1:6" ht="32.25">
      <c r="A96" s="26"/>
      <c r="B96" s="2" t="s">
        <v>218</v>
      </c>
      <c r="C96" s="3" t="s">
        <v>219</v>
      </c>
      <c r="D96" s="10" t="s">
        <v>25</v>
      </c>
      <c r="E96" s="11"/>
      <c r="F96" s="49"/>
    </row>
    <row r="97" spans="1:6" ht="32.25">
      <c r="A97" s="24" t="s">
        <v>220</v>
      </c>
      <c r="B97" s="2" t="s">
        <v>221</v>
      </c>
      <c r="C97" s="3" t="s">
        <v>222</v>
      </c>
      <c r="D97" s="10" t="s">
        <v>25</v>
      </c>
      <c r="E97" s="11"/>
      <c r="F97" s="49"/>
    </row>
    <row r="98" spans="1:6" ht="32.25">
      <c r="A98" s="25"/>
      <c r="B98" s="2" t="s">
        <v>223</v>
      </c>
      <c r="C98" s="3" t="s">
        <v>224</v>
      </c>
      <c r="D98" s="10" t="s">
        <v>25</v>
      </c>
      <c r="E98" s="11"/>
      <c r="F98" s="49"/>
    </row>
    <row r="99" spans="1:6" ht="18.75">
      <c r="A99" s="25"/>
      <c r="B99" s="2" t="s">
        <v>225</v>
      </c>
      <c r="C99" s="3" t="s">
        <v>226</v>
      </c>
      <c r="D99" s="10" t="s">
        <v>25</v>
      </c>
      <c r="E99" s="11"/>
      <c r="F99" s="49"/>
    </row>
    <row r="100" spans="1:6" ht="32.25">
      <c r="A100" s="25"/>
      <c r="B100" s="2" t="s">
        <v>227</v>
      </c>
      <c r="C100" s="3" t="s">
        <v>228</v>
      </c>
      <c r="D100" s="10" t="s">
        <v>25</v>
      </c>
      <c r="E100" s="11"/>
      <c r="F100" s="49"/>
    </row>
    <row r="101" spans="1:6" ht="32.25">
      <c r="A101" s="25"/>
      <c r="B101" s="2" t="s">
        <v>229</v>
      </c>
      <c r="C101" s="3" t="s">
        <v>230</v>
      </c>
      <c r="D101" s="10" t="s">
        <v>25</v>
      </c>
      <c r="E101" s="11"/>
      <c r="F101" s="49"/>
    </row>
    <row r="102" spans="1:6" ht="63">
      <c r="A102" s="25"/>
      <c r="B102" s="2" t="s">
        <v>231</v>
      </c>
      <c r="C102" s="3" t="s">
        <v>232</v>
      </c>
      <c r="D102" s="10" t="s">
        <v>25</v>
      </c>
      <c r="E102" s="11"/>
      <c r="F102" s="49"/>
    </row>
    <row r="103" spans="1:6" ht="32.25">
      <c r="A103" s="25"/>
      <c r="B103" s="2" t="s">
        <v>233</v>
      </c>
      <c r="C103" s="3" t="s">
        <v>234</v>
      </c>
      <c r="D103" s="10" t="s">
        <v>25</v>
      </c>
      <c r="E103" s="11"/>
      <c r="F103" s="49"/>
    </row>
    <row r="104" spans="1:6" ht="18.75">
      <c r="A104" s="25"/>
      <c r="B104" s="2" t="s">
        <v>235</v>
      </c>
      <c r="C104" s="3" t="s">
        <v>236</v>
      </c>
      <c r="D104" s="10" t="s">
        <v>25</v>
      </c>
      <c r="E104" s="11"/>
      <c r="F104" s="49"/>
    </row>
    <row r="105" spans="1:6" ht="32.25">
      <c r="A105" s="25"/>
      <c r="B105" s="2" t="s">
        <v>237</v>
      </c>
      <c r="C105" s="3" t="s">
        <v>238</v>
      </c>
      <c r="D105" s="5" t="s">
        <v>117</v>
      </c>
      <c r="E105" s="11" t="s">
        <v>239</v>
      </c>
      <c r="F105" s="49"/>
    </row>
    <row r="106" spans="1:6" ht="48">
      <c r="A106" s="25"/>
      <c r="B106" s="2" t="s">
        <v>240</v>
      </c>
      <c r="C106" s="3" t="s">
        <v>241</v>
      </c>
      <c r="D106" s="10" t="s">
        <v>25</v>
      </c>
      <c r="E106" s="11"/>
      <c r="F106" s="49"/>
    </row>
    <row r="107" spans="1:6" ht="48">
      <c r="A107" s="26"/>
      <c r="B107" s="2" t="s">
        <v>242</v>
      </c>
      <c r="C107" s="3" t="s">
        <v>243</v>
      </c>
      <c r="D107" s="10" t="s">
        <v>25</v>
      </c>
      <c r="E107" s="11"/>
      <c r="F107" s="49"/>
    </row>
    <row r="108" spans="1:6" ht="32.25">
      <c r="A108" s="24" t="s">
        <v>244</v>
      </c>
      <c r="B108" s="2" t="s">
        <v>245</v>
      </c>
      <c r="C108" s="3" t="s">
        <v>246</v>
      </c>
      <c r="D108" s="10" t="s">
        <v>25</v>
      </c>
      <c r="E108" s="11"/>
      <c r="F108" s="49"/>
    </row>
    <row r="109" spans="1:6" ht="32.25">
      <c r="A109" s="25"/>
      <c r="B109" s="2" t="s">
        <v>247</v>
      </c>
      <c r="C109" s="3" t="s">
        <v>248</v>
      </c>
      <c r="D109" s="10" t="s">
        <v>25</v>
      </c>
      <c r="E109" s="11"/>
      <c r="F109" s="49"/>
    </row>
    <row r="110" spans="1:6" ht="32.25">
      <c r="A110" s="25"/>
      <c r="B110" s="2" t="s">
        <v>249</v>
      </c>
      <c r="C110" s="3" t="s">
        <v>250</v>
      </c>
      <c r="D110" s="10" t="s">
        <v>25</v>
      </c>
      <c r="E110" s="11"/>
      <c r="F110" s="49"/>
    </row>
    <row r="111" spans="1:6" ht="32.25">
      <c r="A111" s="25"/>
      <c r="B111" s="2" t="s">
        <v>251</v>
      </c>
      <c r="C111" s="3" t="s">
        <v>252</v>
      </c>
      <c r="D111" s="10" t="s">
        <v>25</v>
      </c>
      <c r="E111" s="11"/>
      <c r="F111" s="49"/>
    </row>
    <row r="112" spans="1:6" ht="32.25">
      <c r="A112" s="25"/>
      <c r="B112" s="2" t="s">
        <v>253</v>
      </c>
      <c r="C112" s="3" t="s">
        <v>254</v>
      </c>
      <c r="D112" s="10" t="s">
        <v>25</v>
      </c>
      <c r="E112" s="11"/>
      <c r="F112" s="49"/>
    </row>
    <row r="113" spans="1:6" ht="48">
      <c r="A113" s="25"/>
      <c r="B113" s="2" t="s">
        <v>255</v>
      </c>
      <c r="C113" s="3" t="s">
        <v>256</v>
      </c>
      <c r="D113" s="10" t="s">
        <v>25</v>
      </c>
      <c r="E113" s="11"/>
      <c r="F113" s="49"/>
    </row>
    <row r="114" spans="1:6" ht="32.25">
      <c r="A114" s="25"/>
      <c r="B114" s="2" t="s">
        <v>257</v>
      </c>
      <c r="C114" s="3" t="s">
        <v>258</v>
      </c>
      <c r="D114" s="10" t="s">
        <v>25</v>
      </c>
      <c r="E114" s="11"/>
      <c r="F114" s="49"/>
    </row>
    <row r="115" spans="1:6" ht="32.25">
      <c r="A115" s="25"/>
      <c r="B115" s="2" t="s">
        <v>259</v>
      </c>
      <c r="C115" s="3" t="s">
        <v>260</v>
      </c>
      <c r="D115" s="10" t="s">
        <v>25</v>
      </c>
      <c r="E115" s="11"/>
      <c r="F115" s="49"/>
    </row>
    <row r="116" spans="1:6" ht="32.25">
      <c r="A116" s="25"/>
      <c r="B116" s="2" t="s">
        <v>261</v>
      </c>
      <c r="C116" s="3" t="s">
        <v>262</v>
      </c>
      <c r="D116" s="10" t="s">
        <v>25</v>
      </c>
      <c r="E116" s="11"/>
      <c r="F116" s="49"/>
    </row>
    <row r="117" spans="1:6" ht="48">
      <c r="A117" s="25"/>
      <c r="B117" s="2" t="s">
        <v>263</v>
      </c>
      <c r="C117" s="3" t="s">
        <v>264</v>
      </c>
      <c r="D117" s="10" t="s">
        <v>25</v>
      </c>
      <c r="E117" s="11"/>
      <c r="F117" s="49"/>
    </row>
    <row r="118" spans="1:6" ht="48">
      <c r="A118" s="25"/>
      <c r="B118" s="2" t="s">
        <v>265</v>
      </c>
      <c r="C118" s="3" t="s">
        <v>266</v>
      </c>
      <c r="D118" s="10" t="s">
        <v>25</v>
      </c>
      <c r="E118" s="11"/>
      <c r="F118" s="49"/>
    </row>
    <row r="119" spans="1:6" ht="48">
      <c r="A119" s="26"/>
      <c r="B119" s="2" t="s">
        <v>267</v>
      </c>
      <c r="C119" s="3" t="s">
        <v>268</v>
      </c>
      <c r="D119" s="10" t="s">
        <v>25</v>
      </c>
      <c r="E119" s="11"/>
      <c r="F119" s="49"/>
    </row>
    <row r="123" spans="1:6">
      <c r="A123" s="36" t="s">
        <v>269</v>
      </c>
      <c r="B123" s="36"/>
      <c r="C123" s="36"/>
      <c r="D123" s="36"/>
      <c r="E123" s="7" t="s">
        <v>270</v>
      </c>
    </row>
    <row r="124" spans="1:6">
      <c r="A124" s="37" t="s">
        <v>271</v>
      </c>
      <c r="B124" s="37"/>
      <c r="C124" s="37"/>
      <c r="D124" s="37"/>
      <c r="E124" s="9" t="s">
        <v>272</v>
      </c>
    </row>
    <row r="125" spans="1:6">
      <c r="A125" s="33" t="s">
        <v>273</v>
      </c>
      <c r="B125" s="34"/>
      <c r="C125" s="34"/>
      <c r="D125" s="35"/>
      <c r="E125" s="9" t="s">
        <v>274</v>
      </c>
    </row>
    <row r="126" spans="1:6" ht="30.75">
      <c r="A126" s="33" t="s">
        <v>275</v>
      </c>
      <c r="B126" s="34"/>
      <c r="C126" s="34"/>
      <c r="D126" s="35"/>
      <c r="E126" s="8" t="s">
        <v>276</v>
      </c>
    </row>
    <row r="127" spans="1:6">
      <c r="A127" s="30"/>
      <c r="B127" s="31"/>
      <c r="C127" s="31"/>
      <c r="D127" s="32"/>
      <c r="E127" s="9"/>
    </row>
  </sheetData>
  <mergeCells count="29">
    <mergeCell ref="A1:D1"/>
    <mergeCell ref="A5:C5"/>
    <mergeCell ref="A6:C6"/>
    <mergeCell ref="A8:C8"/>
    <mergeCell ref="A9:C9"/>
    <mergeCell ref="A3:C3"/>
    <mergeCell ref="A4:C4"/>
    <mergeCell ref="A2:C2"/>
    <mergeCell ref="A10:C10"/>
    <mergeCell ref="A7:C7"/>
    <mergeCell ref="A14:A22"/>
    <mergeCell ref="A23:A24"/>
    <mergeCell ref="A25:A27"/>
    <mergeCell ref="A28:A40"/>
    <mergeCell ref="A11:C11"/>
    <mergeCell ref="A127:D127"/>
    <mergeCell ref="A125:D125"/>
    <mergeCell ref="A126:D126"/>
    <mergeCell ref="A41:A48"/>
    <mergeCell ref="A123:D123"/>
    <mergeCell ref="A124:D124"/>
    <mergeCell ref="A97:A107"/>
    <mergeCell ref="A108:A119"/>
    <mergeCell ref="A49:A50"/>
    <mergeCell ref="A51:A55"/>
    <mergeCell ref="A56:A65"/>
    <mergeCell ref="A66:A69"/>
    <mergeCell ref="A70:A83"/>
    <mergeCell ref="A84:A96"/>
  </mergeCells>
  <conditionalFormatting sqref="D14:E119">
    <cfRule type="expression" dxfId="7" priority="12">
      <formula>$D14="Non conforme"</formula>
    </cfRule>
  </conditionalFormatting>
  <conditionalFormatting sqref="D62">
    <cfRule type="expression" dxfId="6" priority="5">
      <formula>$D62="Non testé"</formula>
    </cfRule>
    <cfRule type="expression" dxfId="5" priority="6">
      <formula>$D62="Dérogé"</formula>
    </cfRule>
    <cfRule type="expression" dxfId="4" priority="7">
      <formula>$D62="Conforme"</formula>
    </cfRule>
    <cfRule type="expression" dxfId="3" priority="8">
      <formula>$D62="Non conforme"</formula>
    </cfRule>
  </conditionalFormatting>
  <conditionalFormatting sqref="D14:E119">
    <cfRule type="expression" dxfId="2" priority="9">
      <formula>$D14="Non testé"</formula>
    </cfRule>
  </conditionalFormatting>
  <conditionalFormatting sqref="D14:E119">
    <cfRule type="expression" dxfId="1" priority="10">
      <formula>$D14="Dérogé"</formula>
    </cfRule>
  </conditionalFormatting>
  <conditionalFormatting sqref="D14:E119">
    <cfRule type="expression" dxfId="0" priority="11">
      <formula>$D14="Conforme"</formula>
    </cfRule>
  </conditionalFormatting>
  <dataValidations count="2">
    <dataValidation type="list" allowBlank="1" showInputMessage="1" showErrorMessage="1" sqref="D105 D62 D14:D57 D70:D74 D76 D80:D81" xr:uid="{00000000-0002-0000-0200-000000000000}">
      <formula1>"Conforme,Non conforme,Non applicable,Dérogé,Non testé"</formula1>
    </dataValidation>
    <dataValidation allowBlank="1" showInputMessage="1" showErrorMessage="1" prompt="Format JJ/MM/AAAA" sqref="D3" xr:uid="{00000000-0002-0000-0200-000001000000}"/>
  </dataValidation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Julien Roche</dc:creator>
  <cp:keywords/>
  <dc:description/>
  <cp:lastModifiedBy/>
  <cp:revision/>
  <dcterms:created xsi:type="dcterms:W3CDTF">2025-03-05T16:22:31Z</dcterms:created>
  <dcterms:modified xsi:type="dcterms:W3CDTF">2025-04-28T11:33:34Z</dcterms:modified>
  <cp:category/>
  <cp:contentStatus/>
</cp:coreProperties>
</file>
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avidfyon/Desktop/"/>
    </mc:Choice>
  </mc:AlternateContent>
  <xr:revisionPtr revIDLastSave="0" documentId="13_ncr:1_{9688BCE7-264B-F94B-B555-9EAD0D7DEB07}" xr6:coauthVersionLast="47" xr6:coauthVersionMax="47" xr10:uidLastSave="{00000000-0000-0000-0000-000000000000}"/>
  <bookViews>
    <workbookView xWindow="4340" yWindow="2300" windowWidth="43580" windowHeight="23000" xr2:uid="{00000000-000D-0000-FFFF-FFFF00000000}"/>
  </bookViews>
  <sheets>
    <sheet name="PhoneField"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<sst xmlns="http://schemas.openxmlformats.org/spreadsheetml/2006/main" count="418" uniqueCount="301">
  <si>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</si>
  <si>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</si>
  <si>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</si>
  <si>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</si>
  <si>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</si>
  <si>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</si>
  <si>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</si>
  <si>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</si>
  <si>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</si>
  <si>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</si>
  <si>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</si>
  <si>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</si>
  <si>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</si>
  <si>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</si>
  <si>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</si>
  <si>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</si>
  <si>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</si>
  <si>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</si>
  <si>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</si>
  <si>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</si>
  <si>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</si>
  <si>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</si>
  <si>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</si>
  <si>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</si>
  <si>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</si>
  <si>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</si>
  <si>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</si>
  <si>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</si>
  <si>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</si>
  <si>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</si>
  <si>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</si>
  <si>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</si>
  <si>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</si>
  <si>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</si>
  <si>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</si>
  <si>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</si>
  <si>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</si>
  <si>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</si>
  <si>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</si>
  <si>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</si>
  <si>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</si>
  <si>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</si>
  <si>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</si>
  <si>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</si>
  <si>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</si>
  <si>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</si>
  <si>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</si>
  <si>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</si>
  <si>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</si>
  <si>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</si>
  <si>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</si>
  <si>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</si>
  <si>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</si>
  <si>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</si>
  <si>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</si>
  <si>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</si>
  <si>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</si>
  <si>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</si>
  <si>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</si>
  <si>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</si>
  <si>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</si>
  <si>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</si>
  <si>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</si>
  <si>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</si>
  <si>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</si>
  <si>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</si>
  <si>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</si>
  <si>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</si>
  <si>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</si>
  <si>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</si>
  <si>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</si>
  <si>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</si>
  <si>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</si>
  <si>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</si>
  <si>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</si>
  <si>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</si>
  <si>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</si>
  <si>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</si>
  <si>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</si>
  <si>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</si>
  <si>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</si>
  <si>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</si>
  <si>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</si>
  <si>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</si>
  <si>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</si>
  <si>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</si>
  <si>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</si>
  <si>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</si>
  <si>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</si>
  <si>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</si>
  <si>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</si>
  <si>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</si>
  <si>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</si>
  <si>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</si>
  <si>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</si>
  <si>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</si>
  <si>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</si>
  <si>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</si>
  <si>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</si>
  <si>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</si>
  <si>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</si>
  <si>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</si>
  <si>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</si>
  <si>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</si>
  <si>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</si>
  <si>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</si>
  <si>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</si>
  <si>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</si>
  <si>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</si>
  <si>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</si>
  <si>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</si>
  <si>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</si>
  <si>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</si>
  <si>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</si>
  <si>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</si>
  <si>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</si>
  <si>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</si>
  <si>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</si>
  <si>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</si>
  <si>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</si>
  <si>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</si>
  <si>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</si>
  <si>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</si>
  <si>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</si>
  <si>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</si>
  <si>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</si>
  <si>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</si>
  <si>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</si>
  <si>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</si>
  <si>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</si>
  <si>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</si>
  <si>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</si>
  <si>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</si>
  <si>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</si>
  <si>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</si>
  <si>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</si>
  <si>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</si>
  <si>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</si>
  <si>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</si>
  <si>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</si>
  <si>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</si>
  <si>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</si>
  <si>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</si>
  <si>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</si>
  <si>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</si>
  <si>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</si>
  <si>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</si>
  <si>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</si>
  <si>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</si>
  <si>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</si>
  <si>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</si>
  <si>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</si>
  <si>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</si>
  <si>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</si>
  <si>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</si>
  <si>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</si>
  <si>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</si>
  <si>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</si>
  <si>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</si>
  <si>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</si>
  <si>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</si>
  <si>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</si>
  <si>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</si>
  <si>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</si>
  <si>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</si>
  <si>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</si>
  <si>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</si>
  <si>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</si>
  <si>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</si>
  <si>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</si>
  <si>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</si>
  <si>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</si>
  <si>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</si>
  <si>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</si>
  <si>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</si>
  <si>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</si>
  <si>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</si>
  <si>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</si>
  <si>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</si>
  <si>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</si>
  <si>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</si>
  <si>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</si>
  <si>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</si>
  <si>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</si>
  <si>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</si>
  <si>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</si>
  <si>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</si>
  <si>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</si>
  <si>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</si>
  <si>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</si>
  <si>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</si>
  <si>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</si>
  <si>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</si>
  <si>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</si>
  <si>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</si>
  <si>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</si>
  <si>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</si>
  <si>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</si>
  <si>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</si>
  <si>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</si>
  <si>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</si>
  <si>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</si>
  <si>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</si>
  <si>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</si>
  <si>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</si>
  <si>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</si>
  <si>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</si>
  <si>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</si>
  <si>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</si>
  <si>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</si>
  <si>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</si>
  <si>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</si>
  <si>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</si>
  <si>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</si>
  <si>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</si>
  <si>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</si>
  <si>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</si>
  <si>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</si>
  <si>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</si>
  <si>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</si>
  <si>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</si>
  <si>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</si>
  <si>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</si>
  <si>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</si>
  <si>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</si>
  <si>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</si>
  <si>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</si>
  <si>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</si>
  <si>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</si>
  <si>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</si>
  <si>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</si>
  <si>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</si>
  <si>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</si>
  <si>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</si>
  <si>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</si>
  <si>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</si>
  <si>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</si>
  <si>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</si>
  <si>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</si>
  <si>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</si>
  <si>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</si>
  <si>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</si>
  <si>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</si>
  <si>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</si>
  <si>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PhoneField</t>
  </si>
  <si>
    <t>Conforme</t>
  </si>
  <si>
    <t>Les champs "Indicatif" et "Numéro de téléphone" possèdent à la fois une balise "label" (ayant un attribut "for" associé à l'id de l'input) mais aussi un aria-label reprenant le contenu exact de la balise "label". À ce titre, le critère est conforme. 
Recommandation : Néamoins une recommandation est de retirer le aria-label, qui est superflu.</t>
  </si>
  <si>
    <t>Les libellés "Indicatif" et "Numéro de téléphone" sont pertinents.</t>
  </si>
  <si>
    <t>Non applicable</t>
  </si>
  <si>
    <t>Les étiquettes de champ sont accolées à son champ associé et ceci immédiatement au-dessus pour un sens de lecture de gauche à droite (langue française).</t>
  </si>
  <si>
    <t>Non conforme</t>
  </si>
  <si>
    <t>Required :
    - Aucune indication nous informe que le champ est obligatoire dans le cas "Required" sans astérisque. Il sera préférable de forcer le cas "Required" avec cette indication de champ obligatoire =&gt; "*" dans la balise "label". Il sera à la charge du contributeur d'indiquer dans le formulaire que * = Champ obligatoire. Par ailleurs, il est recommandé d'y associer un attribut 'aria-required="true"' pour maximiser la conformité pour tout type de formulaire.
- Lorsqu'un champ est en erreur, il est essentiel d'associer le message d'erreur au champ, soit dans le libellé, soit via "aria-describedby". C'est le cas ici. En revanche, il y a un rôle "alert" sur la div "input-0-messages". Cela signifie que chaque champ en erreur sera restituée au lecteur d'écran en coupant la transcription orale des autres. Ce rôle est donc à retirer et ce sera au contributeur de gérer la gestion du focus après soumission du formulaire pour retranscrire correctement les messages d'erreur.
- Des aides à la saisie doivent être présente et pertinente dans le cas où il y a un type de donnée ou un format spécifique à respecter avant que l'utilisateur ne commence à remplir le champ. Pour cela, il doit être présent, soit dans le libellé, soit via "aria-describedby" comme les messages d'erreurs. À la différence que le message est présent dès le début. Exemple : Indiquer le nombre de caractères à renseigner en fonction de l'indicatif. Pas nécessaire de demander à respecter un pattern puisque la mise en forme se fait automatiquement.</t>
  </si>
  <si>
    <t>Lorsqu'une erreur apparaît et que le champ nécessite une aide à la saisie, il faut donner un exemple (suggestion) de saisie autre que celle mentionnée dans l'aide à la saisie dans le paragraphe d'erreur.</t>
  </si>
  <si>
    <t>Chaque champ concerné par l'attribut "autocomplete" doit en posséder un. Le composant doit donc pouvoir laisser la possibilité à l'utilisateur d'utiliser ces attributs et les exemples présents dans la documentation doivent correspondrent avec ce critère.
Ainsi :
- Indicatif du pays =&gt; autocomplete="tel-country-code" (ex: + 33)
- Tel sans indicatif =&gt; autocomplete="tel-national" (610203040)
Pour en savoir plus :
- https://developer.mozilla.org/fr/docs/Web/HTML/Reference/Attributes/autocomplete
- https://access42.net/attribut-html-autocomplete-valeurs-coordonnees-personnelles-francaises/</t>
  </si>
  <si>
    <t>voir 11.5</t>
  </si>
  <si>
    <t>Les icônes "information", la flèche du select "indicatif" ainsi que l'icône "phone" sont bien ignorées par les lecteurs d'écrans via un aria-hidden="true".
En revanche :
  - Les balises SVG des icônes "information" et la flèche du select "indicatif" possèdent un role="img" (en plus du aria-hidden="true") qui est à supprimer
  - Les icônes "information" possèdent un role="presentation" (ajouté via PhoneField) qui est à supprimé (mauvaise pratique, le aria-hidden="true" suffit)</t>
  </si>
  <si>
    <t>Lorsque le formulaire est dans un état erreur, de succès ou d'avertissement, la couleur n'est pas la seule indication pour justifier de l'information =&gt; il y a également une icône spécifique pour chaque cas qui s'y rapporte.</t>
  </si>
  <si>
    <t>Voir audit SySelect</t>
  </si>
  <si>
    <t>Le composant possède 2 champs pour signifier que l'on souhaiter entrer un numéro de téléphone : l'indicatif et le numéro. Il est donc nécessaire de renseigner ces deux champs dans un "fieldset" avec une balise "legend".
Voici un exemple conforme (sans parler des contrôles et aides à la saisie) :
&lt;fieldset&gt;
    &lt;legend&gt;Numéro de téléphone *&lt;/legend&gt;
    &lt;div&gt;
      &lt;label for="tel-country-code"&gt;Indicatif *&lt;/label&gt;
      &lt;select  id="tel-country-code" autocomplete="tel-country-code" required&gt;
        &lt;option value="+33"&gt;France (+33)&lt;/option&gt;
        &lt;option value="+1"&gt;États-Unis / Canada (+1)&lt;/option&gt;
        &lt;option value="+44"&gt;Royaume-Uni (+44)&lt;/option&gt;
        &lt;option value="+49"&gt;Allemagne (+49)&lt;/option&gt;
        &lt;option value="+32"&gt;Belgique (+32)&lt;/option&gt;
      &lt;/select&gt;
    &lt;/div&gt;
    &lt;div&gt;
        &lt;label for="tel-number"&gt;Numéro de téléphone sans indicatif *&lt;/label&gt;
        &lt;input type="tel" id="tel-number" autocomplete="tel-national" required&gt;
    &lt;/div&gt;
&lt;/fieldset&gt;</t>
  </si>
  <si>
    <t>- Voir les audits SyTextfield et SySelect
- Les rôles alert sur les aides à la saisie coupent la lecture d'écran =&gt; retirer role="alert" et aria-live="polite" sur .input-0-messages (voir 11.10)
- Le champ input doit être de type "tel" au lieu de "texte" (voir pattern exemple 11.5)
Recommandation (niveau AAA) : Encapsuler les abbréviations dans une balise abbr (ex : &lt;abbr title="United States of America"&gt;US&lt;/abbr&gt;) =&gt; en savoir plus : https://www.w3.org/WAI/WCAG21/Understanding/abbreviations.html</t>
  </si>
  <si>
    <t>Visibilité du champ, de l'icône et des suggestions.</t>
  </si>
  <si>
    <t>L'ordre dans lequel le contenu est implémenté ne pose pas de problème de compréhension.</t>
  </si>
  <si>
    <t>Bonne lisibilité, testé en zoom 200% écran et "text only"</t>
  </si>
  <si>
    <t>Le composant n'intègre pas de fond. C'est au contributeur de s'assurer qu'un composant parent possède bien un couleur et que le niveau de contraste est suffisant (testé avec les fonds par défaut blanc/noir pour les critères 3.x)</t>
  </si>
  <si>
    <t>Voir l'audit SySelect pour le champ "Indicatif"
Thème par défaut :
  - Libellé  - lorsque input non focus (16px normal) /  lorsque input focus (12px gras) :
    - normal =&gt; texte gris sur fond blanc =&gt; 5,74 (conforme)
    - succès =&gt; texte vert sur fond blanc =&gt; 9,56 (conforme)
    - warning normal =&gt; texte marron clair sur fond blanc =&gt; 3,92 (non conforme =&gt; ratio minimum de 4,5)
    - warning hover/focus =&gt; texte marron foncé sur fond blanc =&gt; 8,64 (conforme)
    - erreur =&gt; texte rouge sur fond blanc =&gt; 5,73 (conforme)
  - Aide à la saisie (14px normal) :
    - normal =&gt; aucune possibilité laissé par le composant
    - succès =&gt; texte vert sur fond blanc =&gt; 9,56 (conforme)
    - warning =&gt; texte marron foncé sur fond blanc =&gt; 8,64 (conforme)
    - erreur =&gt; texte rouge sur fond blanc =&gt; 5,73 (conforme)</t>
  </si>
  <si>
    <t>Aucun troncage de texte. Le composant n'oblige pas à avoir recours au défilement afin de permettre la visualisuation complète du contenu.</t>
  </si>
  <si>
    <t>Testé avec Assistant RGAA :
body {
line-height: 1.5 !important;
letter-spacing: 0.12em !important;
 word-spacing: 0.16em !important;
}
p { margin-bottom: 2em !important; }</t>
  </si>
  <si>
    <t>Les descriptions des erreurs et aide à la saisie possèdent un role alert. Ce role est superflu car ce texte est de nouveau restitué lorsque l'on passe à l'élément focusable suivant ou précédent.
Pour en savoir plus, voir le critère 11.10.</t>
  </si>
  <si>
    <t>Voir l'audit SySelect pour le champ "Indicatif"
Icônes / Bordure input text :
    - normal =&gt; gris sur fond blanc =&gt; 5,74 (conforme)
    - succès =&gt; vert sur fond blanc =&gt; 9,56 (conforme)
    - warning normal =&gt; marron clair sur fond blanc =&gt; 3,92 (conforme)
    - warning hover/focus =&gt; marron foncé sur fond blanc =&gt; 8,64 (conforme)
    - erreur =&gt; rouge sur fond blanc =&gt; 5,73 (conforme)</t>
  </si>
  <si>
    <t>Les éléments focus sont visibles et conformes (voir 3.2 et 3.3). Voir l'audit SySelect pour le champ "Indicatif".</t>
  </si>
  <si>
    <t>Voir l'audit SySelect pour le champ "Indicatif"</t>
  </si>
  <si>
    <t>Lorsque le pays est renseigné au niveau des propositions du champ "Indicatif" (formats : country, code-country), il est formulé dans la langue  du pays ciblé. Ainsi, pour les lecteurs d'écrans, il est essentiel de renseigner un attribut lang="&lt;LANGUAGE_CODE&gt;" ou alors de renseigner l'ensemble des pays dans la langue du document HTML (par défaut "fr").</t>
  </si>
  <si>
    <t>Voir 8.7</t>
  </si>
  <si>
    <t>Les champs de formulaires doivent avoir une étiquette. Techniquement, il est communément utilisé la balise "label" avec les attributs "for" et "id".
Celle-ci doit être pertinente et accolée au champ associé.</t>
  </si>
  <si>
    <t>Selon la finalité du champ, le remplissage automatique est possible (attribut "autocomplete").</t>
  </si>
  <si>
    <t>- https://www.accede-web.com/notices/html-et-css/formulaires/utiliser-lattribut-autocomplete-pour-faciliter-le-remplissage-automatique-des-champs/</t>
  </si>
  <si>
    <t>En cas d'aide à la saisie, l'inscription est visible  dans un message ou présente dans l'étiquette. Il doit être rattaché au libellé ou situé dans le passage de texte associé au champ.</t>
  </si>
  <si>
    <t>- https://www.accede-web.com/notices/html-et-css/formulaires/integrer-les-aides-a-la-saisie-directement-dans-les-balises-label/</t>
  </si>
  <si>
    <t>Les champs obligatoires possèdent l'une et/ou l'autre condition :
- un intitulé visible permettant de l'identifier comme tel
- un attribut "required" ou 'aria-required="true"'.
Il doit être rattaché au libellé ou situé dans le passage de texte associé au champ.</t>
  </si>
  <si>
    <t>- https://www.accede-web.com/notices/html-et-css/formulaires/integrer-required-ou-aria-requiredtrue-dans-les-champs-obligatoires/</t>
  </si>
  <si>
    <t>En cas d'erreur,  le champ possède l'une et/ou l'autre condition :
- un message visible permet de l'identifier comme tel
- un attribut 'aria-invalid="true"'.
Il doit être rattaché au libellé ou situé dans le passage de texte associé au champ.
Par ailleurs, s'il s'agit d'une erreur de type ou format, l'information est retranscrite dans le message d'erreur avec des exemples de valeurs attendues autre que celle de l'aise à la saisie</t>
  </si>
  <si>
    <t>- https://www.accede-web.com/notices/html-et-css/formulaires/integrer-les-messages-derreur-et-les-suggestions-de-correction-directement-dans-les-balises-label/</t>
  </si>
  <si>
    <t xml:space="preserve">- https://www.accede-web.com/notices/html-et-css/formulaires/utiliser-la-balise-label-ainsi-que-les-attributs-for-et-id-pour-etiqueter-les-champs-avec-intitule-visible/
</t>
  </si>
  <si>
    <t>- https://www.w3.org/WAI/ARIA/apg/patterns/combobox/examples/combobox-select-only/
- https://developer.mozilla.org/en-US/docs/Web/Accessibility/ARIA/Reference/Roles/combobox_role#examples</t>
  </si>
  <si>
    <t>Pour le champ "Indicatif" :
Aucune gestion n'est prévue en ce qui concerne le curseur d'édition car l'input text n'est pas censé être selectionnable. Donc le pattern assimilable est le combobox "select only"
Les règles en matière de gestion clavier sont :
    - Entrée/Espace :  Ouvre  la liste déroulante sans déplacer le focus ni modifier la valeur du champ / Ferme la liste déroulante + définit le focus visuel sur le combobox + valide la valeur du champ depuis l'option cible
    - Echap : Ferme la liste déroulante
    - Flèche Haut/Bas :  Ouvre d'abord la liste déroulante si elle n'est pas affichée puis déplace le focus visuel vers l'item sélectionné ou le premier item / Déplacement sur les options avec blocage visuel si première ou dernière option (pas de "roulement")
    - Home/End : Ouvre la liste déroulante si elle n'est pas affichée puis déplace le focus visuel sur la première/dernière option
    - Caractères imprimables : Ouvre d'abord la liste déroulante si elle n'est pas affichée puis déplace le focus visuel vers la première option qui correspond au caractère choisi. Si plusieurs touches sont saisies rapidement successivement, le focus visuel se déplace vers la première option qui correspond à la chaîne complète. Si le même caractère est saisi successivement, le focus visuel parcourt les options commençant par ce caractère.
    - PageUp/Down (fn + Flèche Haut/Bas) : Déplace le focus sur la 10ème option en amont/aval sur l'option actuelle (ou jusqu'à la première/dernière option si &lt;= 10)
    - Alt + Flèche Haut : Définit la valeur de la dernière option ciblée / Ferme la liste déroulante / Déplace le focus sur l'input
    - Tab : Définit la valeur de la dernière option ciblée / Ferme la liste déroulante / Déplace le focus sur le composant suivant selon l'ordre de tabulation prévu par la page</t>
  </si>
  <si>
    <t>Pour le champ "Indicatif" :
Le champ combobox doit posséder les attributs :
    - role="combobox"
    - aria-controls (pour lier au menu)
    - aria-expanded (true ou false selon si le menu est ouvert ou non)
    - id (pour référence au for) ou un aria-label/aria-labelledby
    - aria-activedescendant
    - aria-autocomplete="list"
    - aria-haspopup="listbox"</t>
  </si>
  <si>
    <t>Pour le champ "Indicatif" :
Le menu doit est sous forme ul/li et posséder les attributs :
    - aria-label ou aria-labelledby (reprendre le nom accessible du combobox)
    - aria-selected (sur un item)</t>
  </si>
  <si>
    <t>Les champs "Indicatif" et "Numéro de téléphone" étant de même nature, doit figurés dans un fieldset associé à legend</t>
  </si>
  <si>
    <t>- https://www.accede-web.com/notices/html-et-css/formulaires/regrouper-et-titrer-les-champs-de-meme-nature-avec-fieldset-et-legend/</t>
  </si>
  <si>
    <t>L'ordre de tabulation est cohérent</t>
  </si>
  <si>
    <t>Pas de piège avec la touche TAB. Tous les éléments sont atteignables</t>
  </si>
  <si>
    <t>Voir audit SySelect : Specification Combobox non respectée sur la navigation au clavier + obligation de faire TAB pour reprendre le focus sur la liste déroulante.</t>
  </si>
  <si>
    <t>Voir les audits SyTextField et SySelect avec les attributs "size"</t>
  </si>
  <si>
    <t xml:space="preserve">Code source validé par le validateur HTML W3C
</t>
  </si>
  <si>
    <t>1.0.2</t>
  </si>
  <si>
    <t>Correction post audit V1 - (voir - https://github.com/assurance-maladie-digital/design-system/issues/4030)</t>
  </si>
  <si>
    <t>1.0.7</t>
  </si>
  <si>
    <t>Use SyIcon component</t>
  </si>
  <si>
    <t>Fix warning color</t>
  </si>
  <si>
    <t>https://github.com/assurance-maladie-digital/design-system-v3/pull/954</t>
  </si>
  <si>
    <t>Ajout d'une prop helpText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</si>
</sst>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4"/>
      <color rgb="FF000000"/>
      <name val="Aptos Narrow"/>
      <family val="2"/>
      <scheme val="minor"/>
    </font>
    <font>
      <sz val="12"/>
      <color rgb="FF006100"/>
      <name val="Aptos Narrow"/>
      <family val="2"/>
      <scheme val="minor"/>
    </font>
    <font>
      <b/>
      <sz val="13.5"/>
      <color rgb="FF000000"/>
      <name val="Aptos Narrow"/>
    </font>
    <font>
      <sz val="13.5"/>
      <color rgb="FF000000"/>
      <name val="Aptos Narrow"/>
    </font>
    <font>
      <u/>
      <sz val="12"/>
      <color theme="10"/>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FFFFFF"/>
        <bgColor rgb="FF000000"/>
      </patternFill>
    </fill>
    <fill>
      <patternFill patternType="solid">
        <fgColor rgb="FFC6EFCE"/>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9" fontId="1" fillId="0" borderId="0" applyFont="0" applyFill="0" applyBorder="0" applyAlignment="0" applyProtection="0"/>
    <xf numFmtId="0" fontId="15" fillId="7" borderId="0" applyNumberFormat="0" applyBorder="0" applyAlignment="0" applyProtection="0"/>
    <xf numFmtId="0" fontId="18" fillId="0" borderId="0" applyNumberFormat="0" applyFill="0" applyBorder="0" applyAlignment="0" applyProtection="0"/>
  </cellStyleXfs>
  <cellXfs count="48">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13" fillId="0" borderId="5" xfId="0" applyFont="1" applyBorder="1" applyAlignment="1">
      <alignment horizontal="right"/>
    </xf>
    <xf numFmtId="0" fontId="14" fillId="6" borderId="6" xfId="0" applyFont="1" applyFill="1" applyBorder="1" applyAlignment="1">
      <alignment horizontal="left" vertical="top"/>
    </xf>
    <xf numFmtId="0" fontId="0" fillId="0" borderId="5" xfId="0" quotePrefix="1" applyBorder="1" applyAlignment="1">
      <alignment horizontal="left" vertical="top" wrapText="1"/>
    </xf>
    <xf numFmtId="0" fontId="0" fillId="0" borderId="5" xfId="0" quotePrefix="1" applyBorder="1"/>
    <xf numFmtId="0" fontId="3" fillId="0" borderId="5" xfId="0" applyFont="1" applyBorder="1" applyAlignment="1">
      <alignment horizontal="left" vertical="top"/>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5"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1" fillId="3" borderId="5" xfId="0" applyFont="1" applyFill="1" applyBorder="1" applyAlignment="1">
      <alignment horizontal="left"/>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6" fillId="0" borderId="12" xfId="0" applyFont="1" applyBorder="1" applyAlignment="1">
      <alignment horizontal="right"/>
    </xf>
    <xf numFmtId="14" fontId="17" fillId="0" borderId="1" xfId="0" applyNumberFormat="1" applyFont="1" applyBorder="1"/>
    <xf numFmtId="0" fontId="17" fillId="0" borderId="12" xfId="0" applyFont="1" applyBorder="1" applyAlignment="1">
      <alignment horizontal="right"/>
    </xf>
    <xf numFmtId="0" fontId="17" fillId="0" borderId="12" xfId="0" applyFont="1" applyBorder="1"/>
    <xf numFmtId="9" fontId="16" fillId="0" borderId="12" xfId="0" applyNumberFormat="1" applyFont="1" applyBorder="1"/>
    <xf numFmtId="0" fontId="3" fillId="0" borderId="0" xfId="0" applyFont="1" applyAlignment="1">
      <alignment vertical="top"/>
    </xf>
    <xf numFmtId="0" fontId="7" fillId="3" borderId="11" xfId="0" applyFont="1" applyFill="1" applyBorder="1" applyAlignment="1">
      <alignment vertical="top"/>
    </xf>
    <xf numFmtId="0" fontId="3" fillId="0" borderId="5" xfId="0" applyFont="1" applyBorder="1" applyAlignment="1">
      <alignment vertical="top"/>
    </xf>
    <xf numFmtId="0" fontId="15" fillId="7" borderId="5" xfId="2" applyBorder="1" applyAlignment="1">
      <alignment vertical="top"/>
    </xf>
    <xf numFmtId="0" fontId="18" fillId="7" borderId="5" xfId="3" applyFill="1" applyBorder="1" applyAlignment="1">
      <alignment vertical="top"/>
    </xf>
  </cellXfs>
  <cellStyles count="4">
    <cellStyle name="Lien hypertexte" xfId="3" builtinId="8"/>
    <cellStyle name="Normal" xfId="0" builtinId="0"/>
    <cellStyle name="Pourcentage" xfId="1" builtinId="5"/>
    <cellStyle name="Satisfaisant" xfId="2" builtinId="26"/>
  </cellStyles>
  <dxfs count="28">
    <dxf>
      <font>
        <color rgb="FF9C5700"/>
      </font>
      <fill>
        <patternFill>
          <bgColor rgb="FFFFEB9C"/>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5700"/>
      </font>
      <fill>
        <patternFill>
          <bgColor rgb="FFFFEB9C"/>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assurance-maladie-digital/design-system-v3/pull/954" TargetMode="External"/><Relationship Id="rId3" Type="http://schemas.openxmlformats.org/officeDocument/2006/relationships/hyperlink" Target="https://github.com/assurance-maladie-digital/design-system-v3/pull/954" TargetMode="External"/><Relationship Id="rId7" Type="http://schemas.openxmlformats.org/officeDocument/2006/relationships/hyperlink" Target="https://github.com/assurance-maladie-digital/design-system-v3/pull/954" TargetMode="External"/><Relationship Id="rId2" Type="http://schemas.openxmlformats.org/officeDocument/2006/relationships/hyperlink" Target="https://github.com/assurance-maladie-digital/design-system-v3/pull/954" TargetMode="External"/><Relationship Id="rId1" Type="http://schemas.openxmlformats.org/officeDocument/2006/relationships/hyperlink" Target="https://github.com/assurance-maladie-digital/design-system-v3/pull/954" TargetMode="External"/><Relationship Id="rId6" Type="http://schemas.openxmlformats.org/officeDocument/2006/relationships/hyperlink" Target="https://github.com/assurance-maladie-digital/design-system-v3/pull/954" TargetMode="External"/><Relationship Id="rId11" Type="http://schemas.openxmlformats.org/officeDocument/2006/relationships/hyperlink" Target="https://github.com/assurance-maladie-digital/design-system-v3/pull/954" TargetMode="External"/><Relationship Id="rId5" Type="http://schemas.openxmlformats.org/officeDocument/2006/relationships/hyperlink" Target="https://github.com/assurance-maladie-digital/design-system-v3/pull/954" TargetMode="External"/><Relationship Id="rId10" Type="http://schemas.openxmlformats.org/officeDocument/2006/relationships/hyperlink" Target="https://github.com/assurance-maladie-digital/design-system-v3/pull/954" TargetMode="External"/><Relationship Id="rId4" Type="http://schemas.openxmlformats.org/officeDocument/2006/relationships/hyperlink" Target="https://github.com/assurance-maladie-digital/design-system-v3/pull/954" TargetMode="External"/><Relationship Id="rId9" Type="http://schemas.openxmlformats.org/officeDocument/2006/relationships/hyperlink" Target="https://github.com/assurance-maladie-digital/design-system-v3/pull/9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2"/>
  <sheetViews>
    <sheetView tabSelected="1" topLeftCell="A110" zoomScale="110" zoomScaleNormal="110" workbookViewId="0">
      <selection activeCell="E99" sqref="E99"/>
    </sheetView>
  </sheetViews>
  <sheetFormatPr baseColWidth="10" defaultColWidth="10.83203125" defaultRowHeight="16"/>
  <cols>
    <col min="1" max="1" width="15" style="1" customWidth="1"/>
    <col min="2" max="2" width="10.33203125" style="1" bestFit="1" customWidth="1"/>
    <col min="3" max="3" width="59.83203125" style="1" customWidth="1"/>
    <col min="4" max="4" width="16.83203125" style="1" customWidth="1"/>
    <col min="5" max="5" width="115.1640625" style="1" customWidth="1"/>
    <col min="6" max="6" width="61.5" style="43" customWidth="1"/>
    <col min="7" max="16384" width="10.83203125" style="1"/>
  </cols>
  <sheetData>
    <row r="1" spans="1:6" ht="32" customHeight="1">
      <c r="A1" s="33" t="s">
        <v>244</v>
      </c>
      <c r="B1" s="33"/>
      <c r="C1" s="33"/>
      <c r="D1" s="33"/>
    </row>
    <row r="2" spans="1:6" ht="19">
      <c r="A2" s="37" t="s">
        <v>242</v>
      </c>
      <c r="B2" s="37"/>
      <c r="C2" s="37"/>
      <c r="D2" s="15" t="s">
        <v>243</v>
      </c>
      <c r="E2" s="38" t="s">
        <v>295</v>
      </c>
    </row>
    <row r="3" spans="1:6" ht="19">
      <c r="A3" s="31" t="s">
        <v>234</v>
      </c>
      <c r="B3" s="31"/>
      <c r="C3" s="31"/>
      <c r="D3" s="8">
        <v>45848</v>
      </c>
      <c r="E3" s="39">
        <v>45881</v>
      </c>
    </row>
    <row r="4" spans="1:6" ht="19">
      <c r="A4" s="34" t="s">
        <v>238</v>
      </c>
      <c r="B4" s="35"/>
      <c r="C4" s="36"/>
      <c r="D4" s="13" t="s">
        <v>294</v>
      </c>
      <c r="E4" s="40" t="s">
        <v>296</v>
      </c>
    </row>
    <row r="5" spans="1:6" ht="16" customHeight="1">
      <c r="A5" s="31" t="s">
        <v>230</v>
      </c>
      <c r="B5" s="31"/>
      <c r="C5" s="31"/>
      <c r="D5" s="9">
        <f xml:space="preserve"> COUNTIF($D$14:$D$119,"Conforme")</f>
        <v>17</v>
      </c>
      <c r="E5" s="41">
        <v>31</v>
      </c>
    </row>
    <row r="6" spans="1:6" ht="19">
      <c r="A6" s="31" t="s">
        <v>231</v>
      </c>
      <c r="B6" s="31"/>
      <c r="C6" s="31"/>
      <c r="D6" s="9">
        <f xml:space="preserve"> COUNTIF($D$14:$D$119,"Non conforme")</f>
        <v>14</v>
      </c>
      <c r="E6" s="41">
        <v>0</v>
      </c>
    </row>
    <row r="7" spans="1:6" ht="19">
      <c r="A7" s="31" t="s">
        <v>237</v>
      </c>
      <c r="B7" s="31"/>
      <c r="C7" s="31"/>
      <c r="D7" s="9">
        <f xml:space="preserve"> COUNTIF($D$14:$D$119,"Non applicable")</f>
        <v>75</v>
      </c>
      <c r="E7" s="41">
        <v>75</v>
      </c>
    </row>
    <row r="8" spans="1:6" ht="19">
      <c r="A8" s="31" t="s">
        <v>232</v>
      </c>
      <c r="B8" s="31"/>
      <c r="C8" s="31"/>
      <c r="D8" s="9">
        <f xml:space="preserve"> COUNTIF($D$14:$D$119,"Dérogé")</f>
        <v>0</v>
      </c>
      <c r="E8" s="41">
        <v>0</v>
      </c>
    </row>
    <row r="9" spans="1:6" ht="19">
      <c r="A9" s="31" t="s">
        <v>233</v>
      </c>
      <c r="B9" s="31"/>
      <c r="C9" s="31"/>
      <c r="D9" s="9">
        <f xml:space="preserve"> COUNTIF($D$14:$D$119,"Non testé")</f>
        <v>0</v>
      </c>
      <c r="E9" s="41">
        <v>0</v>
      </c>
    </row>
    <row r="10" spans="1:6" ht="19" customHeight="1">
      <c r="A10" s="27" t="s">
        <v>239</v>
      </c>
      <c r="B10" s="28"/>
      <c r="C10" s="29"/>
      <c r="D10" s="14">
        <f>IF(SUM(D5:D6)&gt;0,D5/SUM(D5:D6),"")</f>
        <v>0.54838709677419351</v>
      </c>
      <c r="E10" s="42">
        <v>1</v>
      </c>
    </row>
    <row r="11" spans="1:6" ht="19" customHeight="1">
      <c r="A11" s="27" t="s">
        <v>240</v>
      </c>
      <c r="B11" s="28"/>
      <c r="C11" s="29"/>
      <c r="D11" s="14">
        <f>IF(SUM(D5:D6)&gt;0,1-ROUND(D10,2),"")</f>
        <v>0.44999999999999996</v>
      </c>
      <c r="E11" s="42">
        <v>0</v>
      </c>
    </row>
    <row r="12" spans="1:6">
      <c r="A12" s="7"/>
      <c r="B12" s="7"/>
      <c r="C12" s="7"/>
    </row>
    <row r="13" spans="1:6" ht="19">
      <c r="A13" s="4" t="s">
        <v>0</v>
      </c>
      <c r="B13" s="4" t="s">
        <v>229</v>
      </c>
      <c r="C13" s="4" t="s">
        <v>1</v>
      </c>
      <c r="D13" s="4" t="s">
        <v>227</v>
      </c>
      <c r="E13" s="6" t="s">
        <v>228</v>
      </c>
      <c r="F13" s="44" t="s">
        <v>241</v>
      </c>
    </row>
    <row r="14" spans="1:6" ht="34">
      <c r="A14" s="32" t="s">
        <v>2</v>
      </c>
      <c r="B14" s="2" t="s">
        <v>3</v>
      </c>
      <c r="C14" s="3" t="s">
        <v>4</v>
      </c>
      <c r="D14" s="5" t="s">
        <v>248</v>
      </c>
      <c r="E14" s="11"/>
      <c r="F14" s="45"/>
    </row>
    <row r="15" spans="1:6" ht="119">
      <c r="A15" s="25"/>
      <c r="B15" s="2" t="s">
        <v>5</v>
      </c>
      <c r="C15" s="3" t="s">
        <v>6</v>
      </c>
      <c r="D15" s="5" t="s">
        <v>250</v>
      </c>
      <c r="E15" s="12" t="s">
        <v>255</v>
      </c>
      <c r="F15" s="46" t="s">
        <v>297</v>
      </c>
    </row>
    <row r="16" spans="1:6" ht="34">
      <c r="A16" s="25"/>
      <c r="B16" s="2" t="s">
        <v>7</v>
      </c>
      <c r="C16" s="3" t="s">
        <v>8</v>
      </c>
      <c r="D16" s="5" t="s">
        <v>248</v>
      </c>
      <c r="E16" s="11"/>
      <c r="F16" s="45"/>
    </row>
    <row r="17" spans="1:6" ht="51">
      <c r="A17" s="25"/>
      <c r="B17" s="2" t="s">
        <v>9</v>
      </c>
      <c r="C17" s="3" t="s">
        <v>10</v>
      </c>
      <c r="D17" s="5" t="s">
        <v>248</v>
      </c>
      <c r="E17" s="11"/>
      <c r="F17" s="45"/>
    </row>
    <row r="18" spans="1:6" ht="34">
      <c r="A18" s="25"/>
      <c r="B18" s="2" t="s">
        <v>11</v>
      </c>
      <c r="C18" s="3" t="s">
        <v>12</v>
      </c>
      <c r="D18" s="5" t="s">
        <v>248</v>
      </c>
      <c r="E18" s="11"/>
      <c r="F18" s="45"/>
    </row>
    <row r="19" spans="1:6" ht="34">
      <c r="A19" s="25"/>
      <c r="B19" s="2" t="s">
        <v>13</v>
      </c>
      <c r="C19" s="3" t="s">
        <v>14</v>
      </c>
      <c r="D19" s="5" t="s">
        <v>248</v>
      </c>
      <c r="E19" s="11"/>
      <c r="F19" s="45"/>
    </row>
    <row r="20" spans="1:6" ht="34">
      <c r="A20" s="25"/>
      <c r="B20" s="2" t="s">
        <v>15</v>
      </c>
      <c r="C20" s="3" t="s">
        <v>16</v>
      </c>
      <c r="D20" s="5" t="s">
        <v>248</v>
      </c>
      <c r="E20" s="11"/>
      <c r="F20" s="45"/>
    </row>
    <row r="21" spans="1:6" ht="51">
      <c r="A21" s="25"/>
      <c r="B21" s="2" t="s">
        <v>17</v>
      </c>
      <c r="C21" s="3" t="s">
        <v>18</v>
      </c>
      <c r="D21" s="5" t="s">
        <v>248</v>
      </c>
      <c r="E21" s="11"/>
      <c r="F21" s="45"/>
    </row>
    <row r="22" spans="1:6" ht="34">
      <c r="A22" s="26"/>
      <c r="B22" s="2" t="s">
        <v>19</v>
      </c>
      <c r="C22" s="3" t="s">
        <v>20</v>
      </c>
      <c r="D22" s="5" t="s">
        <v>248</v>
      </c>
      <c r="E22" s="11"/>
      <c r="F22" s="45"/>
    </row>
    <row r="23" spans="1:6" ht="19">
      <c r="A23" s="24" t="s">
        <v>21</v>
      </c>
      <c r="B23" s="2" t="s">
        <v>22</v>
      </c>
      <c r="C23" s="3" t="s">
        <v>23</v>
      </c>
      <c r="D23" s="5" t="s">
        <v>248</v>
      </c>
      <c r="E23" s="11"/>
      <c r="F23" s="45"/>
    </row>
    <row r="24" spans="1:6" ht="34">
      <c r="A24" s="26"/>
      <c r="B24" s="2" t="s">
        <v>24</v>
      </c>
      <c r="C24" s="3" t="s">
        <v>25</v>
      </c>
      <c r="D24" s="5" t="s">
        <v>248</v>
      </c>
      <c r="E24" s="11"/>
      <c r="F24" s="45"/>
    </row>
    <row r="25" spans="1:6" ht="34">
      <c r="A25" s="24" t="s">
        <v>26</v>
      </c>
      <c r="B25" s="2" t="s">
        <v>27</v>
      </c>
      <c r="C25" s="3" t="s">
        <v>28</v>
      </c>
      <c r="D25" s="5" t="s">
        <v>245</v>
      </c>
      <c r="E25" s="11" t="s">
        <v>256</v>
      </c>
      <c r="F25" s="45"/>
    </row>
    <row r="26" spans="1:6" ht="238">
      <c r="A26" s="25"/>
      <c r="B26" s="2" t="s">
        <v>29</v>
      </c>
      <c r="C26" s="3" t="s">
        <v>30</v>
      </c>
      <c r="D26" s="5" t="s">
        <v>250</v>
      </c>
      <c r="E26" s="11" t="s">
        <v>264</v>
      </c>
      <c r="F26" s="46" t="s">
        <v>298</v>
      </c>
    </row>
    <row r="27" spans="1:6" ht="136">
      <c r="A27" s="26"/>
      <c r="B27" s="2" t="s">
        <v>31</v>
      </c>
      <c r="C27" s="3" t="s">
        <v>32</v>
      </c>
      <c r="D27" s="5" t="s">
        <v>245</v>
      </c>
      <c r="E27" s="11" t="s">
        <v>268</v>
      </c>
      <c r="F27" s="45"/>
    </row>
    <row r="28" spans="1:6" ht="34">
      <c r="A28" s="24" t="s">
        <v>33</v>
      </c>
      <c r="B28" s="2" t="s">
        <v>34</v>
      </c>
      <c r="C28" s="3" t="s">
        <v>35</v>
      </c>
      <c r="D28" s="5" t="s">
        <v>248</v>
      </c>
      <c r="E28" s="11"/>
      <c r="F28" s="45"/>
    </row>
    <row r="29" spans="1:6" ht="51">
      <c r="A29" s="25"/>
      <c r="B29" s="2" t="s">
        <v>36</v>
      </c>
      <c r="C29" s="3" t="s">
        <v>37</v>
      </c>
      <c r="D29" s="5" t="s">
        <v>248</v>
      </c>
      <c r="E29" s="11"/>
      <c r="F29" s="45"/>
    </row>
    <row r="30" spans="1:6" ht="34">
      <c r="A30" s="25"/>
      <c r="B30" s="2" t="s">
        <v>38</v>
      </c>
      <c r="C30" s="3" t="s">
        <v>39</v>
      </c>
      <c r="D30" s="5" t="s">
        <v>248</v>
      </c>
      <c r="E30" s="11"/>
      <c r="F30" s="45"/>
    </row>
    <row r="31" spans="1:6" ht="34">
      <c r="A31" s="25"/>
      <c r="B31" s="2" t="s">
        <v>40</v>
      </c>
      <c r="C31" s="3" t="s">
        <v>41</v>
      </c>
      <c r="D31" s="5" t="s">
        <v>248</v>
      </c>
      <c r="E31" s="11"/>
      <c r="F31" s="45"/>
    </row>
    <row r="32" spans="1:6" ht="34">
      <c r="A32" s="25"/>
      <c r="B32" s="2" t="s">
        <v>42</v>
      </c>
      <c r="C32" s="3" t="s">
        <v>43</v>
      </c>
      <c r="D32" s="5" t="s">
        <v>248</v>
      </c>
      <c r="E32" s="11"/>
      <c r="F32" s="45"/>
    </row>
    <row r="33" spans="1:6" ht="34">
      <c r="A33" s="25"/>
      <c r="B33" s="2" t="s">
        <v>44</v>
      </c>
      <c r="C33" s="3" t="s">
        <v>45</v>
      </c>
      <c r="D33" s="5" t="s">
        <v>248</v>
      </c>
      <c r="E33" s="11"/>
      <c r="F33" s="45"/>
    </row>
    <row r="34" spans="1:6" ht="34">
      <c r="A34" s="25"/>
      <c r="B34" s="2" t="s">
        <v>46</v>
      </c>
      <c r="C34" s="3" t="s">
        <v>47</v>
      </c>
      <c r="D34" s="5" t="s">
        <v>248</v>
      </c>
      <c r="E34" s="11"/>
      <c r="F34" s="45"/>
    </row>
    <row r="35" spans="1:6" ht="34">
      <c r="A35" s="25"/>
      <c r="B35" s="2" t="s">
        <v>48</v>
      </c>
      <c r="C35" s="3" t="s">
        <v>49</v>
      </c>
      <c r="D35" s="5" t="s">
        <v>248</v>
      </c>
      <c r="E35" s="11"/>
      <c r="F35" s="45"/>
    </row>
    <row r="36" spans="1:6" ht="34">
      <c r="A36" s="25"/>
      <c r="B36" s="2" t="s">
        <v>50</v>
      </c>
      <c r="C36" s="3" t="s">
        <v>51</v>
      </c>
      <c r="D36" s="5" t="s">
        <v>248</v>
      </c>
      <c r="E36" s="11"/>
      <c r="F36" s="45"/>
    </row>
    <row r="37" spans="1:6" ht="34">
      <c r="A37" s="25"/>
      <c r="B37" s="2" t="s">
        <v>52</v>
      </c>
      <c r="C37" s="3" t="s">
        <v>53</v>
      </c>
      <c r="D37" s="5" t="s">
        <v>248</v>
      </c>
      <c r="E37" s="11"/>
      <c r="F37" s="45"/>
    </row>
    <row r="38" spans="1:6" ht="34">
      <c r="A38" s="25"/>
      <c r="B38" s="2" t="s">
        <v>54</v>
      </c>
      <c r="C38" s="3" t="s">
        <v>55</v>
      </c>
      <c r="D38" s="5" t="s">
        <v>248</v>
      </c>
      <c r="E38" s="11"/>
      <c r="F38" s="45"/>
    </row>
    <row r="39" spans="1:6" ht="34">
      <c r="A39" s="25"/>
      <c r="B39" s="2" t="s">
        <v>56</v>
      </c>
      <c r="C39" s="3" t="s">
        <v>57</v>
      </c>
      <c r="D39" s="5" t="s">
        <v>248</v>
      </c>
      <c r="E39" s="11"/>
      <c r="F39" s="45"/>
    </row>
    <row r="40" spans="1:6" ht="34">
      <c r="A40" s="26"/>
      <c r="B40" s="2" t="s">
        <v>58</v>
      </c>
      <c r="C40" s="3" t="s">
        <v>59</v>
      </c>
      <c r="D40" s="5" t="s">
        <v>248</v>
      </c>
      <c r="E40" s="11"/>
      <c r="F40" s="45"/>
    </row>
    <row r="41" spans="1:6" ht="19">
      <c r="A41" s="24" t="s">
        <v>60</v>
      </c>
      <c r="B41" s="2" t="s">
        <v>61</v>
      </c>
      <c r="C41" s="3" t="s">
        <v>62</v>
      </c>
      <c r="D41" s="5" t="s">
        <v>248</v>
      </c>
      <c r="E41" s="11"/>
      <c r="F41" s="45"/>
    </row>
    <row r="42" spans="1:6" ht="34">
      <c r="A42" s="25"/>
      <c r="B42" s="2" t="s">
        <v>63</v>
      </c>
      <c r="C42" s="3" t="s">
        <v>64</v>
      </c>
      <c r="D42" s="5" t="s">
        <v>248</v>
      </c>
      <c r="E42" s="11"/>
      <c r="F42" s="45"/>
    </row>
    <row r="43" spans="1:6" ht="34">
      <c r="A43" s="25"/>
      <c r="B43" s="2" t="s">
        <v>65</v>
      </c>
      <c r="C43" s="3" t="s">
        <v>66</v>
      </c>
      <c r="D43" s="5" t="s">
        <v>248</v>
      </c>
      <c r="E43" s="11"/>
      <c r="F43" s="45"/>
    </row>
    <row r="44" spans="1:6" ht="34">
      <c r="A44" s="25"/>
      <c r="B44" s="2" t="s">
        <v>67</v>
      </c>
      <c r="C44" s="3" t="s">
        <v>68</v>
      </c>
      <c r="D44" s="5" t="s">
        <v>248</v>
      </c>
      <c r="E44" s="11"/>
      <c r="F44" s="45"/>
    </row>
    <row r="45" spans="1:6" ht="34">
      <c r="A45" s="25"/>
      <c r="B45" s="2" t="s">
        <v>69</v>
      </c>
      <c r="C45" s="3" t="s">
        <v>70</v>
      </c>
      <c r="D45" s="5" t="s">
        <v>248</v>
      </c>
      <c r="E45" s="11"/>
      <c r="F45" s="45"/>
    </row>
    <row r="46" spans="1:6" ht="34">
      <c r="A46" s="25"/>
      <c r="B46" s="2" t="s">
        <v>71</v>
      </c>
      <c r="C46" s="3" t="s">
        <v>72</v>
      </c>
      <c r="D46" s="5" t="s">
        <v>248</v>
      </c>
      <c r="E46" s="11"/>
      <c r="F46" s="45"/>
    </row>
    <row r="47" spans="1:6" ht="51">
      <c r="A47" s="25"/>
      <c r="B47" s="2" t="s">
        <v>73</v>
      </c>
      <c r="C47" s="3" t="s">
        <v>74</v>
      </c>
      <c r="D47" s="5" t="s">
        <v>248</v>
      </c>
      <c r="E47" s="11"/>
      <c r="F47" s="45"/>
    </row>
    <row r="48" spans="1:6" ht="34">
      <c r="A48" s="26"/>
      <c r="B48" s="2" t="s">
        <v>75</v>
      </c>
      <c r="C48" s="3" t="s">
        <v>76</v>
      </c>
      <c r="D48" s="5" t="s">
        <v>248</v>
      </c>
      <c r="E48" s="11"/>
      <c r="F48" s="45"/>
    </row>
    <row r="49" spans="1:6" ht="19">
      <c r="A49" s="24" t="s">
        <v>77</v>
      </c>
      <c r="B49" s="2" t="s">
        <v>78</v>
      </c>
      <c r="C49" s="3" t="s">
        <v>79</v>
      </c>
      <c r="D49" s="5" t="s">
        <v>248</v>
      </c>
      <c r="E49" s="11"/>
      <c r="F49" s="45"/>
    </row>
    <row r="50" spans="1:6" ht="19">
      <c r="A50" s="26"/>
      <c r="B50" s="2" t="s">
        <v>80</v>
      </c>
      <c r="C50" s="3" t="s">
        <v>81</v>
      </c>
      <c r="D50" s="5" t="s">
        <v>248</v>
      </c>
      <c r="E50" s="11"/>
      <c r="F50" s="45"/>
    </row>
    <row r="51" spans="1:6" ht="119">
      <c r="A51" s="24" t="s">
        <v>82</v>
      </c>
      <c r="B51" s="2" t="s">
        <v>83</v>
      </c>
      <c r="C51" s="3" t="s">
        <v>84</v>
      </c>
      <c r="D51" s="5" t="s">
        <v>250</v>
      </c>
      <c r="E51" s="12" t="s">
        <v>259</v>
      </c>
      <c r="F51" s="47" t="s">
        <v>299</v>
      </c>
    </row>
    <row r="52" spans="1:6" ht="34">
      <c r="A52" s="25"/>
      <c r="B52" s="2" t="s">
        <v>85</v>
      </c>
      <c r="C52" s="3" t="s">
        <v>86</v>
      </c>
      <c r="D52" s="5" t="s">
        <v>248</v>
      </c>
      <c r="E52" s="11"/>
      <c r="F52" s="45"/>
    </row>
    <row r="53" spans="1:6" ht="34">
      <c r="A53" s="25"/>
      <c r="B53" s="2" t="s">
        <v>87</v>
      </c>
      <c r="C53" s="3" t="s">
        <v>88</v>
      </c>
      <c r="D53" s="5" t="s">
        <v>250</v>
      </c>
      <c r="E53" s="11" t="s">
        <v>291</v>
      </c>
      <c r="F53" s="47" t="s">
        <v>299</v>
      </c>
    </row>
    <row r="54" spans="1:6" ht="34">
      <c r="A54" s="25"/>
      <c r="B54" s="2" t="s">
        <v>89</v>
      </c>
      <c r="C54" s="3" t="s">
        <v>90</v>
      </c>
      <c r="D54" s="16" t="s">
        <v>248</v>
      </c>
      <c r="E54" s="11"/>
      <c r="F54" s="45"/>
    </row>
    <row r="55" spans="1:6" ht="51">
      <c r="A55" s="26"/>
      <c r="B55" s="2" t="s">
        <v>91</v>
      </c>
      <c r="C55" s="3" t="s">
        <v>92</v>
      </c>
      <c r="D55" s="5" t="s">
        <v>250</v>
      </c>
      <c r="E55" s="11" t="s">
        <v>267</v>
      </c>
      <c r="F55" s="47" t="s">
        <v>299</v>
      </c>
    </row>
    <row r="56" spans="1:6" ht="19">
      <c r="A56" s="24" t="s">
        <v>93</v>
      </c>
      <c r="B56" s="2" t="s">
        <v>94</v>
      </c>
      <c r="C56" s="3" t="s">
        <v>95</v>
      </c>
      <c r="D56" s="16" t="s">
        <v>248</v>
      </c>
      <c r="E56" s="11"/>
      <c r="F56" s="45"/>
    </row>
    <row r="57" spans="1:6" ht="34">
      <c r="A57" s="25"/>
      <c r="B57" s="2" t="s">
        <v>96</v>
      </c>
      <c r="C57" s="3" t="s">
        <v>97</v>
      </c>
      <c r="D57" s="5" t="s">
        <v>245</v>
      </c>
      <c r="E57" s="11" t="s">
        <v>293</v>
      </c>
      <c r="F57" s="45"/>
    </row>
    <row r="58" spans="1:6" ht="19">
      <c r="A58" s="25"/>
      <c r="B58" s="2" t="s">
        <v>98</v>
      </c>
      <c r="C58" s="3" t="s">
        <v>99</v>
      </c>
      <c r="D58" s="16" t="s">
        <v>248</v>
      </c>
      <c r="E58" s="11"/>
      <c r="F58" s="45"/>
    </row>
    <row r="59" spans="1:6" ht="34">
      <c r="A59" s="25"/>
      <c r="B59" s="2" t="s">
        <v>100</v>
      </c>
      <c r="C59" s="3" t="s">
        <v>101</v>
      </c>
      <c r="D59" s="16" t="s">
        <v>248</v>
      </c>
      <c r="E59" s="11"/>
      <c r="F59" s="45"/>
    </row>
    <row r="60" spans="1:6" ht="19">
      <c r="A60" s="25"/>
      <c r="B60" s="2" t="s">
        <v>102</v>
      </c>
      <c r="C60" s="3" t="s">
        <v>103</v>
      </c>
      <c r="D60" s="16" t="s">
        <v>248</v>
      </c>
      <c r="E60" s="11"/>
      <c r="F60" s="45"/>
    </row>
    <row r="61" spans="1:6" ht="19">
      <c r="A61" s="25"/>
      <c r="B61" s="2" t="s">
        <v>104</v>
      </c>
      <c r="C61" s="3" t="s">
        <v>105</v>
      </c>
      <c r="D61" s="16" t="s">
        <v>248</v>
      </c>
      <c r="E61" s="11"/>
      <c r="F61" s="45"/>
    </row>
    <row r="62" spans="1:6" ht="51">
      <c r="A62" s="25"/>
      <c r="B62" s="2" t="s">
        <v>106</v>
      </c>
      <c r="C62" s="3" t="s">
        <v>107</v>
      </c>
      <c r="D62" s="5" t="s">
        <v>250</v>
      </c>
      <c r="E62" s="11" t="s">
        <v>271</v>
      </c>
      <c r="F62" s="47" t="s">
        <v>299</v>
      </c>
    </row>
    <row r="63" spans="1:6" ht="34">
      <c r="A63" s="25"/>
      <c r="B63" s="2" t="s">
        <v>108</v>
      </c>
      <c r="C63" s="3" t="s">
        <v>109</v>
      </c>
      <c r="D63" s="5" t="s">
        <v>250</v>
      </c>
      <c r="E63" s="11" t="s">
        <v>272</v>
      </c>
      <c r="F63" s="47" t="s">
        <v>299</v>
      </c>
    </row>
    <row r="64" spans="1:6" ht="34">
      <c r="A64" s="25"/>
      <c r="B64" s="2" t="s">
        <v>110</v>
      </c>
      <c r="C64" s="3" t="s">
        <v>111</v>
      </c>
      <c r="D64" s="16" t="s">
        <v>248</v>
      </c>
      <c r="E64" s="11"/>
      <c r="F64" s="45"/>
    </row>
    <row r="65" spans="1:6" ht="34">
      <c r="A65" s="26"/>
      <c r="B65" s="2" t="s">
        <v>112</v>
      </c>
      <c r="C65" s="3" t="s">
        <v>113</v>
      </c>
      <c r="D65" s="16" t="s">
        <v>248</v>
      </c>
      <c r="E65" s="11"/>
      <c r="F65" s="45"/>
    </row>
    <row r="66" spans="1:6" ht="34">
      <c r="A66" s="24" t="s">
        <v>114</v>
      </c>
      <c r="B66" s="2" t="s">
        <v>115</v>
      </c>
      <c r="C66" s="3" t="s">
        <v>116</v>
      </c>
      <c r="D66" s="16" t="s">
        <v>248</v>
      </c>
      <c r="E66" s="11"/>
      <c r="F66" s="45"/>
    </row>
    <row r="67" spans="1:6" ht="34">
      <c r="A67" s="25"/>
      <c r="B67" s="2" t="s">
        <v>117</v>
      </c>
      <c r="C67" s="3" t="s">
        <v>118</v>
      </c>
      <c r="D67" s="16" t="s">
        <v>248</v>
      </c>
      <c r="E67" s="11"/>
      <c r="F67" s="45"/>
    </row>
    <row r="68" spans="1:6" ht="19">
      <c r="A68" s="25"/>
      <c r="B68" s="2" t="s">
        <v>119</v>
      </c>
      <c r="C68" s="3" t="s">
        <v>120</v>
      </c>
      <c r="D68" s="5" t="s">
        <v>245</v>
      </c>
      <c r="E68" s="11" t="s">
        <v>257</v>
      </c>
      <c r="F68" s="45"/>
    </row>
    <row r="69" spans="1:6" ht="34">
      <c r="A69" s="26"/>
      <c r="B69" s="2" t="s">
        <v>121</v>
      </c>
      <c r="C69" s="3" t="s">
        <v>122</v>
      </c>
      <c r="D69" s="16" t="s">
        <v>248</v>
      </c>
      <c r="E69" s="11"/>
      <c r="F69" s="45"/>
    </row>
    <row r="70" spans="1:6" ht="34">
      <c r="A70" s="24" t="s">
        <v>123</v>
      </c>
      <c r="B70" s="2" t="s">
        <v>124</v>
      </c>
      <c r="C70" s="3" t="s">
        <v>125</v>
      </c>
      <c r="D70" s="5" t="s">
        <v>250</v>
      </c>
      <c r="E70" s="11" t="s">
        <v>292</v>
      </c>
      <c r="F70" s="47" t="s">
        <v>299</v>
      </c>
    </row>
    <row r="71" spans="1:6" ht="34">
      <c r="A71" s="25"/>
      <c r="B71" s="2" t="s">
        <v>126</v>
      </c>
      <c r="C71" s="3" t="s">
        <v>127</v>
      </c>
      <c r="D71" s="5" t="s">
        <v>245</v>
      </c>
      <c r="E71" s="11" t="s">
        <v>260</v>
      </c>
      <c r="F71" s="45"/>
    </row>
    <row r="72" spans="1:6" ht="34">
      <c r="A72" s="25"/>
      <c r="B72" s="2" t="s">
        <v>128</v>
      </c>
      <c r="C72" s="3" t="s">
        <v>129</v>
      </c>
      <c r="D72" s="5" t="s">
        <v>245</v>
      </c>
      <c r="E72" s="11" t="s">
        <v>261</v>
      </c>
      <c r="F72" s="45"/>
    </row>
    <row r="73" spans="1:6" ht="51">
      <c r="A73" s="25"/>
      <c r="B73" s="2" t="s">
        <v>130</v>
      </c>
      <c r="C73" s="3" t="s">
        <v>131</v>
      </c>
      <c r="D73" s="5" t="s">
        <v>245</v>
      </c>
      <c r="E73" s="11" t="s">
        <v>262</v>
      </c>
      <c r="F73" s="45"/>
    </row>
    <row r="74" spans="1:6" ht="34">
      <c r="A74" s="25"/>
      <c r="B74" s="2" t="s">
        <v>132</v>
      </c>
      <c r="C74" s="3" t="s">
        <v>133</v>
      </c>
      <c r="D74" s="16" t="s">
        <v>248</v>
      </c>
      <c r="E74" s="11" t="s">
        <v>263</v>
      </c>
      <c r="F74" s="45"/>
    </row>
    <row r="75" spans="1:6" ht="34">
      <c r="A75" s="25"/>
      <c r="B75" s="2" t="s">
        <v>134</v>
      </c>
      <c r="C75" s="3" t="s">
        <v>135</v>
      </c>
      <c r="D75" s="16" t="s">
        <v>248</v>
      </c>
      <c r="E75" s="11"/>
      <c r="F75" s="45"/>
    </row>
    <row r="76" spans="1:6" ht="34">
      <c r="A76" s="25"/>
      <c r="B76" s="2" t="s">
        <v>136</v>
      </c>
      <c r="C76" s="3" t="s">
        <v>137</v>
      </c>
      <c r="D76" s="5" t="s">
        <v>245</v>
      </c>
      <c r="E76" s="11" t="s">
        <v>269</v>
      </c>
      <c r="F76" s="45"/>
    </row>
    <row r="77" spans="1:6" ht="34">
      <c r="A77" s="25"/>
      <c r="B77" s="2" t="s">
        <v>138</v>
      </c>
      <c r="C77" s="3" t="s">
        <v>139</v>
      </c>
      <c r="D77" s="16" t="s">
        <v>248</v>
      </c>
      <c r="E77" s="11"/>
      <c r="F77" s="45"/>
    </row>
    <row r="78" spans="1:6" ht="51">
      <c r="A78" s="25"/>
      <c r="B78" s="2" t="s">
        <v>140</v>
      </c>
      <c r="C78" s="3" t="s">
        <v>141</v>
      </c>
      <c r="D78" s="5" t="s">
        <v>248</v>
      </c>
      <c r="E78" s="11"/>
      <c r="F78" s="45"/>
    </row>
    <row r="79" spans="1:6" ht="51">
      <c r="A79" s="25"/>
      <c r="B79" s="2" t="s">
        <v>142</v>
      </c>
      <c r="C79" s="3" t="s">
        <v>143</v>
      </c>
      <c r="D79" s="5" t="s">
        <v>248</v>
      </c>
      <c r="E79" s="11"/>
      <c r="F79" s="45"/>
    </row>
    <row r="80" spans="1:6" ht="85">
      <c r="A80" s="25"/>
      <c r="B80" s="2" t="s">
        <v>144</v>
      </c>
      <c r="C80" s="3" t="s">
        <v>145</v>
      </c>
      <c r="D80" s="5" t="s">
        <v>245</v>
      </c>
      <c r="E80" s="11" t="s">
        <v>265</v>
      </c>
      <c r="F80" s="45"/>
    </row>
    <row r="81" spans="1:6" ht="119">
      <c r="A81" s="25"/>
      <c r="B81" s="2" t="s">
        <v>146</v>
      </c>
      <c r="C81" s="3" t="s">
        <v>147</v>
      </c>
      <c r="D81" s="5" t="s">
        <v>245</v>
      </c>
      <c r="E81" s="11" t="s">
        <v>266</v>
      </c>
      <c r="F81" s="45"/>
    </row>
    <row r="82" spans="1:6" ht="51">
      <c r="A82" s="25"/>
      <c r="B82" s="2" t="s">
        <v>148</v>
      </c>
      <c r="C82" s="3" t="s">
        <v>149</v>
      </c>
      <c r="D82" s="5" t="s">
        <v>245</v>
      </c>
      <c r="E82" s="11" t="s">
        <v>270</v>
      </c>
      <c r="F82" s="45"/>
    </row>
    <row r="83" spans="1:6" ht="51">
      <c r="A83" s="26"/>
      <c r="B83" s="2" t="s">
        <v>150</v>
      </c>
      <c r="C83" s="3" t="s">
        <v>151</v>
      </c>
      <c r="D83" s="5" t="s">
        <v>245</v>
      </c>
      <c r="E83" s="11" t="s">
        <v>270</v>
      </c>
      <c r="F83" s="45"/>
    </row>
    <row r="84" spans="1:6" ht="68">
      <c r="A84" s="24" t="s">
        <v>152</v>
      </c>
      <c r="B84" s="2" t="s">
        <v>153</v>
      </c>
      <c r="C84" s="3" t="s">
        <v>154</v>
      </c>
      <c r="D84" s="5" t="s">
        <v>245</v>
      </c>
      <c r="E84" s="11" t="s">
        <v>246</v>
      </c>
      <c r="F84" s="45"/>
    </row>
    <row r="85" spans="1:6" ht="34">
      <c r="A85" s="25"/>
      <c r="B85" s="2" t="s">
        <v>155</v>
      </c>
      <c r="C85" s="3" t="s">
        <v>156</v>
      </c>
      <c r="D85" s="5" t="s">
        <v>245</v>
      </c>
      <c r="E85" s="11" t="s">
        <v>247</v>
      </c>
      <c r="F85" s="45"/>
    </row>
    <row r="86" spans="1:6" ht="51">
      <c r="A86" s="25"/>
      <c r="B86" s="2" t="s">
        <v>157</v>
      </c>
      <c r="C86" s="3" t="s">
        <v>158</v>
      </c>
      <c r="D86" s="5" t="s">
        <v>248</v>
      </c>
      <c r="E86" s="11"/>
      <c r="F86" s="45"/>
    </row>
    <row r="87" spans="1:6" ht="34">
      <c r="A87" s="25"/>
      <c r="B87" s="2" t="s">
        <v>159</v>
      </c>
      <c r="C87" s="3" t="s">
        <v>160</v>
      </c>
      <c r="D87" s="5" t="s">
        <v>245</v>
      </c>
      <c r="E87" s="11" t="s">
        <v>249</v>
      </c>
      <c r="F87" s="45"/>
    </row>
    <row r="88" spans="1:6" ht="356">
      <c r="A88" s="25"/>
      <c r="B88" s="2" t="s">
        <v>161</v>
      </c>
      <c r="C88" s="3" t="s">
        <v>162</v>
      </c>
      <c r="D88" s="5" t="s">
        <v>250</v>
      </c>
      <c r="E88" s="11" t="s">
        <v>258</v>
      </c>
      <c r="F88" s="47" t="s">
        <v>299</v>
      </c>
    </row>
    <row r="89" spans="1:6" ht="34">
      <c r="A89" s="25"/>
      <c r="B89" s="2" t="s">
        <v>163</v>
      </c>
      <c r="C89" s="3" t="s">
        <v>164</v>
      </c>
      <c r="D89" s="5" t="s">
        <v>250</v>
      </c>
      <c r="E89" s="11" t="s">
        <v>254</v>
      </c>
      <c r="F89" s="47" t="s">
        <v>299</v>
      </c>
    </row>
    <row r="90" spans="1:6" ht="34">
      <c r="A90" s="25"/>
      <c r="B90" s="2" t="s">
        <v>165</v>
      </c>
      <c r="C90" s="3" t="s">
        <v>166</v>
      </c>
      <c r="D90" s="5" t="s">
        <v>250</v>
      </c>
      <c r="E90" s="11" t="s">
        <v>254</v>
      </c>
      <c r="F90" s="47" t="s">
        <v>299</v>
      </c>
    </row>
    <row r="91" spans="1:6" ht="34">
      <c r="A91" s="25"/>
      <c r="B91" s="2" t="s">
        <v>167</v>
      </c>
      <c r="C91" s="3" t="s">
        <v>168</v>
      </c>
      <c r="D91" s="5" t="s">
        <v>248</v>
      </c>
      <c r="E91" s="11"/>
      <c r="F91" s="45"/>
    </row>
    <row r="92" spans="1:6" ht="34">
      <c r="A92" s="25"/>
      <c r="B92" s="2" t="s">
        <v>169</v>
      </c>
      <c r="C92" s="3" t="s">
        <v>170</v>
      </c>
      <c r="D92" s="5" t="s">
        <v>248</v>
      </c>
      <c r="E92" s="11"/>
      <c r="F92" s="45"/>
    </row>
    <row r="93" spans="1:6" ht="255">
      <c r="A93" s="25"/>
      <c r="B93" s="2" t="s">
        <v>171</v>
      </c>
      <c r="C93" s="3" t="s">
        <v>172</v>
      </c>
      <c r="D93" s="5" t="s">
        <v>250</v>
      </c>
      <c r="E93" s="11" t="s">
        <v>251</v>
      </c>
      <c r="F93" s="47" t="s">
        <v>299</v>
      </c>
    </row>
    <row r="94" spans="1:6" ht="34">
      <c r="A94" s="25"/>
      <c r="B94" s="2" t="s">
        <v>173</v>
      </c>
      <c r="C94" s="3" t="s">
        <v>174</v>
      </c>
      <c r="D94" s="5" t="s">
        <v>250</v>
      </c>
      <c r="E94" s="11" t="s">
        <v>252</v>
      </c>
      <c r="F94" s="46" t="s">
        <v>300</v>
      </c>
    </row>
    <row r="95" spans="1:6" ht="85">
      <c r="A95" s="25"/>
      <c r="B95" s="2" t="s">
        <v>175</v>
      </c>
      <c r="C95" s="3" t="s">
        <v>176</v>
      </c>
      <c r="D95" s="5" t="s">
        <v>248</v>
      </c>
      <c r="E95" s="11"/>
      <c r="F95" s="45"/>
    </row>
    <row r="96" spans="1:6" ht="170">
      <c r="A96" s="26"/>
      <c r="B96" s="2" t="s">
        <v>177</v>
      </c>
      <c r="C96" s="3" t="s">
        <v>178</v>
      </c>
      <c r="D96" s="5" t="s">
        <v>250</v>
      </c>
      <c r="E96" s="11" t="s">
        <v>253</v>
      </c>
      <c r="F96" s="47" t="s">
        <v>299</v>
      </c>
    </row>
    <row r="97" spans="1:6" ht="34">
      <c r="A97" s="24" t="s">
        <v>179</v>
      </c>
      <c r="B97" s="2" t="s">
        <v>180</v>
      </c>
      <c r="C97" s="3" t="s">
        <v>181</v>
      </c>
      <c r="D97" s="16" t="s">
        <v>248</v>
      </c>
      <c r="E97" s="11"/>
      <c r="F97" s="45"/>
    </row>
    <row r="98" spans="1:6" ht="34">
      <c r="A98" s="25"/>
      <c r="B98" s="2" t="s">
        <v>182</v>
      </c>
      <c r="C98" s="3" t="s">
        <v>183</v>
      </c>
      <c r="D98" s="16" t="s">
        <v>248</v>
      </c>
      <c r="E98" s="11"/>
      <c r="F98" s="45"/>
    </row>
    <row r="99" spans="1:6" ht="19">
      <c r="A99" s="25"/>
      <c r="B99" s="2" t="s">
        <v>184</v>
      </c>
      <c r="C99" s="3" t="s">
        <v>185</v>
      </c>
      <c r="D99" s="16" t="s">
        <v>248</v>
      </c>
      <c r="E99" s="11"/>
      <c r="F99" s="45"/>
    </row>
    <row r="100" spans="1:6" ht="34">
      <c r="A100" s="25"/>
      <c r="B100" s="2" t="s">
        <v>186</v>
      </c>
      <c r="C100" s="3" t="s">
        <v>187</v>
      </c>
      <c r="D100" s="16" t="s">
        <v>248</v>
      </c>
      <c r="E100" s="11"/>
      <c r="F100" s="45"/>
    </row>
    <row r="101" spans="1:6" ht="34">
      <c r="A101" s="25"/>
      <c r="B101" s="2" t="s">
        <v>188</v>
      </c>
      <c r="C101" s="3" t="s">
        <v>189</v>
      </c>
      <c r="D101" s="16" t="s">
        <v>248</v>
      </c>
      <c r="E101" s="11"/>
      <c r="F101" s="45"/>
    </row>
    <row r="102" spans="1:6" ht="68">
      <c r="A102" s="25"/>
      <c r="B102" s="2" t="s">
        <v>190</v>
      </c>
      <c r="C102" s="3" t="s">
        <v>191</v>
      </c>
      <c r="D102" s="16" t="s">
        <v>248</v>
      </c>
      <c r="E102" s="11"/>
      <c r="F102" s="45"/>
    </row>
    <row r="103" spans="1:6" ht="34">
      <c r="A103" s="25"/>
      <c r="B103" s="2" t="s">
        <v>192</v>
      </c>
      <c r="C103" s="3" t="s">
        <v>193</v>
      </c>
      <c r="D103" s="16" t="s">
        <v>248</v>
      </c>
      <c r="E103" s="11"/>
      <c r="F103" s="45"/>
    </row>
    <row r="104" spans="1:6" ht="19">
      <c r="A104" s="25"/>
      <c r="B104" s="2" t="s">
        <v>194</v>
      </c>
      <c r="C104" s="3" t="s">
        <v>195</v>
      </c>
      <c r="D104" s="5" t="s">
        <v>245</v>
      </c>
      <c r="E104" s="11" t="s">
        <v>289</v>
      </c>
      <c r="F104" s="45"/>
    </row>
    <row r="105" spans="1:6" ht="34">
      <c r="A105" s="25"/>
      <c r="B105" s="2" t="s">
        <v>196</v>
      </c>
      <c r="C105" s="3" t="s">
        <v>197</v>
      </c>
      <c r="D105" s="5" t="s">
        <v>245</v>
      </c>
      <c r="E105" s="19" t="s">
        <v>290</v>
      </c>
      <c r="F105" s="45"/>
    </row>
    <row r="106" spans="1:6" ht="51">
      <c r="A106" s="25"/>
      <c r="B106" s="2" t="s">
        <v>198</v>
      </c>
      <c r="C106" s="3" t="s">
        <v>199</v>
      </c>
      <c r="D106" s="16" t="s">
        <v>248</v>
      </c>
      <c r="E106" s="11"/>
      <c r="F106" s="45"/>
    </row>
    <row r="107" spans="1:6" ht="51">
      <c r="A107" s="26"/>
      <c r="B107" s="2" t="s">
        <v>200</v>
      </c>
      <c r="C107" s="3" t="s">
        <v>201</v>
      </c>
      <c r="D107" s="5" t="s">
        <v>248</v>
      </c>
      <c r="E107" s="11"/>
      <c r="F107" s="45"/>
    </row>
    <row r="108" spans="1:6" ht="34">
      <c r="A108" s="24" t="s">
        <v>202</v>
      </c>
      <c r="B108" s="2" t="s">
        <v>203</v>
      </c>
      <c r="C108" s="3" t="s">
        <v>204</v>
      </c>
      <c r="D108" s="16" t="s">
        <v>248</v>
      </c>
      <c r="E108" s="11"/>
      <c r="F108" s="45"/>
    </row>
    <row r="109" spans="1:6" ht="51">
      <c r="A109" s="25"/>
      <c r="B109" s="2" t="s">
        <v>205</v>
      </c>
      <c r="C109" s="3" t="s">
        <v>206</v>
      </c>
      <c r="D109" s="16" t="s">
        <v>248</v>
      </c>
      <c r="E109" s="11"/>
      <c r="F109" s="45"/>
    </row>
    <row r="110" spans="1:6" ht="51">
      <c r="A110" s="25"/>
      <c r="B110" s="2" t="s">
        <v>207</v>
      </c>
      <c r="C110" s="3" t="s">
        <v>208</v>
      </c>
      <c r="D110" s="16" t="s">
        <v>248</v>
      </c>
      <c r="E110" s="11"/>
      <c r="F110" s="45"/>
    </row>
    <row r="111" spans="1:6" ht="34">
      <c r="A111" s="25"/>
      <c r="B111" s="2" t="s">
        <v>209</v>
      </c>
      <c r="C111" s="3" t="s">
        <v>210</v>
      </c>
      <c r="D111" s="16" t="s">
        <v>248</v>
      </c>
      <c r="E111" s="11"/>
      <c r="F111" s="45"/>
    </row>
    <row r="112" spans="1:6" ht="34">
      <c r="A112" s="25"/>
      <c r="B112" s="2" t="s">
        <v>211</v>
      </c>
      <c r="C112" s="3" t="s">
        <v>212</v>
      </c>
      <c r="D112" s="16" t="s">
        <v>248</v>
      </c>
      <c r="E112" s="11"/>
      <c r="F112" s="45"/>
    </row>
    <row r="113" spans="1:6" ht="51">
      <c r="A113" s="25"/>
      <c r="B113" s="2" t="s">
        <v>213</v>
      </c>
      <c r="C113" s="3" t="s">
        <v>214</v>
      </c>
      <c r="D113" s="16" t="s">
        <v>248</v>
      </c>
      <c r="E113" s="11"/>
      <c r="F113" s="45"/>
    </row>
    <row r="114" spans="1:6" ht="34">
      <c r="A114" s="25"/>
      <c r="B114" s="2" t="s">
        <v>215</v>
      </c>
      <c r="C114" s="3" t="s">
        <v>216</v>
      </c>
      <c r="D114" s="16" t="s">
        <v>248</v>
      </c>
      <c r="E114" s="11"/>
      <c r="F114" s="45"/>
    </row>
    <row r="115" spans="1:6" ht="34">
      <c r="A115" s="25"/>
      <c r="B115" s="2" t="s">
        <v>217</v>
      </c>
      <c r="C115" s="3" t="s">
        <v>218</v>
      </c>
      <c r="D115" s="16" t="s">
        <v>248</v>
      </c>
      <c r="E115" s="11"/>
      <c r="F115" s="45"/>
    </row>
    <row r="116" spans="1:6" ht="51">
      <c r="A116" s="25"/>
      <c r="B116" s="2" t="s">
        <v>219</v>
      </c>
      <c r="C116" s="3" t="s">
        <v>220</v>
      </c>
      <c r="D116" s="16" t="s">
        <v>248</v>
      </c>
      <c r="E116" s="11"/>
      <c r="F116" s="45"/>
    </row>
    <row r="117" spans="1:6" ht="51">
      <c r="A117" s="25"/>
      <c r="B117" s="2" t="s">
        <v>221</v>
      </c>
      <c r="C117" s="3" t="s">
        <v>222</v>
      </c>
      <c r="D117" s="16" t="s">
        <v>248</v>
      </c>
      <c r="E117" s="11"/>
      <c r="F117" s="45"/>
    </row>
    <row r="118" spans="1:6" ht="51">
      <c r="A118" s="25"/>
      <c r="B118" s="2" t="s">
        <v>223</v>
      </c>
      <c r="C118" s="3" t="s">
        <v>224</v>
      </c>
      <c r="D118" s="16" t="s">
        <v>248</v>
      </c>
      <c r="E118" s="11"/>
      <c r="F118" s="45"/>
    </row>
    <row r="119" spans="1:6" ht="51">
      <c r="A119" s="26"/>
      <c r="B119" s="2" t="s">
        <v>225</v>
      </c>
      <c r="C119" s="3" t="s">
        <v>226</v>
      </c>
      <c r="D119" s="16" t="s">
        <v>248</v>
      </c>
      <c r="E119" s="11"/>
      <c r="F119" s="45"/>
    </row>
    <row r="123" spans="1:6">
      <c r="A123" s="30" t="s">
        <v>235</v>
      </c>
      <c r="B123" s="30"/>
      <c r="C123" s="30"/>
      <c r="D123" s="30"/>
      <c r="E123" s="10" t="s">
        <v>236</v>
      </c>
    </row>
    <row r="124" spans="1:6" ht="51">
      <c r="A124" s="20" t="s">
        <v>273</v>
      </c>
      <c r="B124" s="21"/>
      <c r="C124" s="21"/>
      <c r="D124" s="22"/>
      <c r="E124" s="12" t="s">
        <v>282</v>
      </c>
    </row>
    <row r="125" spans="1:6" ht="34">
      <c r="A125" s="20" t="s">
        <v>274</v>
      </c>
      <c r="B125" s="21"/>
      <c r="C125" s="21"/>
      <c r="D125" s="22"/>
      <c r="E125" s="12" t="s">
        <v>275</v>
      </c>
    </row>
    <row r="126" spans="1:6" ht="37" customHeight="1">
      <c r="A126" s="20" t="s">
        <v>276</v>
      </c>
      <c r="B126" s="21"/>
      <c r="C126" s="21"/>
      <c r="D126" s="22"/>
      <c r="E126" s="12" t="s">
        <v>277</v>
      </c>
    </row>
    <row r="127" spans="1:6" ht="69" customHeight="1">
      <c r="A127" s="20" t="s">
        <v>278</v>
      </c>
      <c r="B127" s="21"/>
      <c r="C127" s="21"/>
      <c r="D127" s="22"/>
      <c r="E127" s="12" t="s">
        <v>279</v>
      </c>
    </row>
    <row r="128" spans="1:6" ht="108" customHeight="1">
      <c r="A128" s="20" t="s">
        <v>280</v>
      </c>
      <c r="B128" s="21"/>
      <c r="C128" s="21"/>
      <c r="D128" s="22"/>
      <c r="E128" s="12" t="s">
        <v>281</v>
      </c>
    </row>
    <row r="129" spans="1:5" ht="332" customHeight="1">
      <c r="A129" s="23" t="s">
        <v>284</v>
      </c>
      <c r="B129" s="23"/>
      <c r="C129" s="23"/>
      <c r="D129" s="23"/>
      <c r="E129" s="17" t="s">
        <v>283</v>
      </c>
    </row>
    <row r="130" spans="1:5" ht="153" customHeight="1">
      <c r="A130" s="23" t="s">
        <v>285</v>
      </c>
      <c r="B130" s="23"/>
      <c r="C130" s="23"/>
      <c r="D130" s="23"/>
      <c r="E130" s="17" t="s">
        <v>283</v>
      </c>
    </row>
    <row r="131" spans="1:5" ht="71" customHeight="1">
      <c r="A131" s="23" t="s">
        <v>286</v>
      </c>
      <c r="B131" s="23"/>
      <c r="C131" s="23"/>
      <c r="D131" s="23"/>
      <c r="E131" s="17" t="s">
        <v>283</v>
      </c>
    </row>
    <row r="132" spans="1:5" ht="21" customHeight="1">
      <c r="A132" s="23" t="s">
        <v>287</v>
      </c>
      <c r="B132" s="23"/>
      <c r="C132" s="23"/>
      <c r="D132" s="23"/>
      <c r="E132" s="18" t="s">
        <v>288</v>
      </c>
    </row>
  </sheetData>
  <mergeCells count="34">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 ref="A128:D128"/>
    <mergeCell ref="A129:D129"/>
    <mergeCell ref="A130:D130"/>
    <mergeCell ref="A131:D131"/>
    <mergeCell ref="A132:D132"/>
  </mergeCells>
  <conditionalFormatting sqref="D55">
    <cfRule type="expression" dxfId="27" priority="24">
      <formula>$D55="Non conforme"</formula>
    </cfRule>
    <cfRule type="expression" dxfId="26" priority="23">
      <formula>$D55="Conforme"</formula>
    </cfRule>
    <cfRule type="expression" dxfId="25" priority="22">
      <formula>$D55="Dérogé"</formula>
    </cfRule>
    <cfRule type="expression" dxfId="24" priority="21">
      <formula>$D55="Non testé"</formula>
    </cfRule>
  </conditionalFormatting>
  <conditionalFormatting sqref="D68">
    <cfRule type="expression" dxfId="23" priority="1">
      <formula>$D68="Non testé"</formula>
    </cfRule>
    <cfRule type="expression" dxfId="22" priority="2">
      <formula>$D68="Dérogé"</formula>
    </cfRule>
    <cfRule type="expression" dxfId="21" priority="3">
      <formula>$D68="Conforme"</formula>
    </cfRule>
    <cfRule type="expression" dxfId="20" priority="4">
      <formula>$D68="Non conforme"</formula>
    </cfRule>
  </conditionalFormatting>
  <conditionalFormatting sqref="D14:E53 D57:E57 E58:E61 D62:E63 E64:E69 D70:E70 D71:D73 D76:E76 E77 D78:E79 D79:D81 D82:E96 E97:E103 D104:E104 D105 D107:E107 E108:E119">
    <cfRule type="expression" dxfId="19" priority="32">
      <formula>$D14="Non conforme"</formula>
    </cfRule>
    <cfRule type="expression" dxfId="18" priority="29">
      <formula>$D14="Non testé"</formula>
    </cfRule>
    <cfRule type="expression" dxfId="17" priority="30">
      <formula>$D14="Dérogé"</formula>
    </cfRule>
    <cfRule type="expression" dxfId="16" priority="31">
      <formula>$D14="Conforme"</formula>
    </cfRule>
  </conditionalFormatting>
  <conditionalFormatting sqref="E54:E56">
    <cfRule type="expression" dxfId="15" priority="10">
      <formula>$D54="Dérogé"</formula>
    </cfRule>
    <cfRule type="expression" dxfId="14" priority="11">
      <formula>$D54="Conforme"</formula>
    </cfRule>
    <cfRule type="expression" dxfId="13" priority="12">
      <formula>$D54="Non conforme"</formula>
    </cfRule>
    <cfRule type="expression" dxfId="12" priority="9">
      <formula>$D54="Non testé"</formula>
    </cfRule>
  </conditionalFormatting>
  <conditionalFormatting sqref="E71:E75">
    <cfRule type="expression" dxfId="11" priority="17">
      <formula>$D71="Non testé"</formula>
    </cfRule>
    <cfRule type="expression" dxfId="10" priority="18">
      <formula>$D71="Dérogé"</formula>
    </cfRule>
    <cfRule type="expression" dxfId="9" priority="19">
      <formula>$D71="Conforme"</formula>
    </cfRule>
    <cfRule type="expression" dxfId="8" priority="20">
      <formula>$D71="Non conforme"</formula>
    </cfRule>
  </conditionalFormatting>
  <conditionalFormatting sqref="E80:E81">
    <cfRule type="expression" dxfId="7" priority="13">
      <formula>$D80="Non testé"</formula>
    </cfRule>
    <cfRule type="expression" dxfId="6" priority="14">
      <formula>$D80="Dérogé"</formula>
    </cfRule>
    <cfRule type="expression" dxfId="5" priority="16">
      <formula>$D80="Non conforme"</formula>
    </cfRule>
    <cfRule type="expression" dxfId="4" priority="15">
      <formula>$D80="Conforme"</formula>
    </cfRule>
  </conditionalFormatting>
  <conditionalFormatting sqref="E105:E106">
    <cfRule type="expression" dxfId="3" priority="8">
      <formula>$D105="Non conforme"</formula>
    </cfRule>
    <cfRule type="expression" dxfId="2" priority="7">
      <formula>$D105="Conforme"</formula>
    </cfRule>
    <cfRule type="expression" dxfId="1" priority="6">
      <formula>$D105="Dérogé"</formula>
    </cfRule>
    <cfRule type="expression" dxfId="0" priority="5">
      <formula>$D105="Non testé"</formula>
    </cfRule>
  </conditionalFormatting>
  <dataValidations count="2">
    <dataValidation type="list" allowBlank="1" showInputMessage="1" showErrorMessage="1" sqref="D14:D53 D57 D62:D63 D55 D76 D70:D73 D104:D105 D107 D78:D96 D68" xr:uid="{00000000-0002-0000-0200-000000000000}">
      <formula1>"Conforme,Non conforme,Non applicable,Dérogé,Non testé"</formula1>
    </dataValidation>
    <dataValidation allowBlank="1" showInputMessage="1" showErrorMessage="1" prompt="Format JJ/MM/AAAA" sqref="D3" xr:uid="{00000000-0002-0000-0200-000001000000}"/>
  </dataValidations>
  <hyperlinks>
    <hyperlink ref="F51" r:id="rId1" xr:uid="{9AA62336-E143-C54E-A328-E5B997300FAC}"/>
    <hyperlink ref="F53" r:id="rId2" xr:uid="{DD3F3CBE-A7BE-5C40-B666-B1987B3231E2}"/>
    <hyperlink ref="F55" r:id="rId3" xr:uid="{E5A38EB3-3391-C244-B294-25D4295523AC}"/>
    <hyperlink ref="F62" r:id="rId4" xr:uid="{93E276F3-E32F-F848-93B5-5DCD3E6C5D03}"/>
    <hyperlink ref="F63" r:id="rId5" xr:uid="{E93BA9B3-D7ED-6D42-8E92-E91FA7465B59}"/>
    <hyperlink ref="F70" r:id="rId6" xr:uid="{117055B8-0160-5A4F-996D-D4077D487F16}"/>
    <hyperlink ref="F88" r:id="rId7" xr:uid="{BC9B4596-A72F-FA48-97DD-956F60EFB16E}"/>
    <hyperlink ref="F89" r:id="rId8" xr:uid="{533D1652-FC44-E144-A2EC-32AF22089036}"/>
    <hyperlink ref="F90" r:id="rId9" xr:uid="{D5B44924-0E1C-5C4A-AF23-993EDB470839}"/>
    <hyperlink ref="F93" r:id="rId10" xr:uid="{E674A214-3371-F14F-A8EF-2BB8D4EDDFB0}"/>
    <hyperlink ref="F96" r:id="rId11" xr:uid="{F09EBAE8-BB77-0E41-ABCE-1150CEBEFFD4}"/>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PhoneField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David FYON</cp:lastModifiedBy>
  <dcterms:created xsi:type="dcterms:W3CDTF">2025-03-05T16:22:31Z</dcterms:created>
  <dcterms:modified xsi:type="dcterms:W3CDTF">2025-08-13T13:41:27Z</dcterms:modified>
</cp:coreProperties>
</file>
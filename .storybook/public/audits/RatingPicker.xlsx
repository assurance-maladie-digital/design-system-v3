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cuments\design-system-v3\.storybook\public\audits\"/>
    </mc:Choice>
  </mc:AlternateContent>
  <bookViews>
    <workbookView xWindow="0" yWindow="0" windowWidth="23040" windowHeight="10512"/>
  </bookViews>
  <sheets>
    <sheet name="RatingPicker (Default)" sheetId="3" r:id="rId1"/>
    <sheet name="RatingPicker (Numbers)" sheetId="4" r:id="rId2"/>
    <sheet name="RatingPicker (Stars)" sheetId="2"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4" l="1"/>
  <c r="D8" i="4"/>
  <c r="D7" i="4"/>
  <c r="D6" i="4"/>
  <c r="D5" i="4"/>
  <c r="D9" i="3"/>
  <c r="D8" i="3"/>
  <c r="D7" i="3"/>
  <c r="D6" i="3"/>
  <c r="D5" i="3"/>
  <c r="D7" i="2"/>
  <c r="D8" i="2"/>
  <c r="D10" i="4" l="1"/>
  <c r="D11" i="4" s="1"/>
  <c r="D10" i="3"/>
  <c r="D11" i="3" s="1"/>
  <c r="D9" i="2"/>
  <c r="D6" i="2"/>
  <c r="D5" i="2"/>
  <c r="D10" i="2" l="1"/>
  <c r="D11" i="2" s="1"/>
</calcChain>
</file>

<file path=xl/sharedStrings.xml><?xml version="1.0" encoding="utf-8"?>
<sst xmlns="http://schemas.openxmlformats.org/spreadsheetml/2006/main" count="1160" uniqueCount="309">
  <si>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</si>
  <si>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</si>
  <si>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</si>
  <si>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</si>
  <si>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</si>
  <si>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</si>
  <si>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</si>
  <si>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</si>
  <si>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</si>
  <si>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</si>
  <si>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</si>
  <si>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</si>
  <si>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</si>
  <si>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</si>
  <si>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</si>
  <si>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</si>
  <si>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</si>
  <si>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</si>
  <si>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</si>
  <si>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</si>
  <si>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</si>
  <si>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</si>
  <si>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</si>
  <si>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</si>
  <si>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</si>
  <si>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</si>
  <si>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</si>
  <si>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</si>
  <si>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</si>
  <si>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</si>
  <si>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</si>
  <si>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</si>
  <si>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</si>
  <si>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</si>
  <si>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</si>
  <si>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</si>
  <si>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</si>
  <si>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</si>
  <si>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</si>
  <si>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</si>
  <si>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</si>
  <si>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</si>
  <si>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</si>
  <si>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</si>
  <si>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</si>
  <si>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</si>
  <si>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</si>
  <si>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</si>
  <si>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</si>
  <si>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</si>
  <si>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</si>
  <si>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</si>
  <si>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</si>
  <si>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</si>
  <si>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</si>
  <si>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</si>
  <si>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</si>
  <si>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</si>
  <si>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</si>
  <si>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</si>
  <si>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</si>
  <si>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</si>
  <si>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</si>
  <si>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</si>
  <si>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</si>
  <si>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</si>
  <si>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</si>
  <si>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</si>
  <si>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</si>
  <si>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</si>
  <si>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</si>
  <si>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</si>
  <si>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</si>
  <si>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</si>
  <si>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</si>
  <si>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</si>
  <si>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</si>
  <si>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</si>
  <si>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</si>
  <si>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</si>
  <si>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</si>
  <si>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</si>
  <si>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</si>
  <si>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</si>
  <si>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</si>
  <si>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</si>
  <si>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</si>
  <si>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</si>
  <si>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</si>
  <si>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</si>
  <si>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</si>
  <si>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</si>
  <si>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</si>
  <si>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</si>
  <si>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</si>
  <si>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</si>
  <si>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</si>
  <si>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</si>
  <si>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</si>
  <si>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</si>
  <si>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</si>
  <si>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</si>
  <si>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</si>
  <si>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</si>
  <si>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</si>
  <si>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</si>
  <si>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</si>
  <si>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</si>
  <si>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</si>
  <si>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</si>
  <si>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</si>
  <si>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</si>
  <si>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</si>
  <si>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</si>
  <si>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</si>
  <si>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</si>
  <si>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</si>
  <si>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</si>
  <si>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</si>
  <si>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</si>
  <si>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</si>
  <si>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</si>
  <si>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</si>
  <si>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</si>
  <si>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</si>
  <si>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</si>
  <si>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</si>
  <si>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</si>
  <si>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</si>
  <si>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</si>
  <si>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</si>
  <si>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</si>
  <si>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</si>
  <si>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</si>
  <si>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</si>
  <si>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</si>
  <si>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</si>
  <si>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</si>
  <si>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</si>
  <si>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</si>
  <si>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</si>
  <si>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</si>
  <si>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</si>
  <si>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</si>
  <si>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</si>
  <si>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</si>
  <si>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</si>
  <si>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</si>
  <si>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</si>
  <si>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</si>
  <si>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</si>
  <si>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</si>
  <si>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</si>
  <si>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</si>
  <si>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</si>
  <si>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</si>
  <si>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</si>
  <si>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</si>
  <si>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</si>
  <si>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</si>
  <si>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</si>
  <si>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</si>
  <si>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</si>
  <si>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</si>
  <si>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</si>
  <si>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</si>
  <si>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</si>
  <si>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</si>
  <si>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</si>
  <si>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</si>
  <si>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</si>
  <si>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</si>
  <si>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</si>
  <si>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</si>
  <si>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</si>
  <si>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</si>
  <si>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</si>
  <si>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</si>
  <si>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</si>
  <si>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</si>
  <si>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</si>
  <si>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</si>
  <si>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</si>
  <si>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</si>
  <si>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</si>
  <si>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</si>
  <si>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</si>
  <si>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</si>
  <si>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</si>
  <si>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</si>
  <si>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</si>
  <si>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</si>
  <si>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</si>
  <si>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</si>
  <si>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</si>
  <si>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</si>
  <si>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</si>
  <si>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</si>
  <si>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</si>
  <si>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</si>
  <si>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</si>
  <si>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</si>
  <si>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</si>
  <si>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</si>
  <si>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</si>
  <si>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</si>
  <si>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</si>
  <si>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</si>
  <si>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</si>
  <si>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</si>
  <si>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</si>
  <si>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</si>
  <si>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</si>
  <si>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</si>
  <si>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</si>
  <si>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</si>
  <si>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</si>
  <si>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</si>
  <si>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</si>
  <si>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</si>
  <si>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</si>
  <si>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</si>
  <si>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</si>
  <si>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</si>
  <si>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</si>
  <si>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</si>
  <si>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</si>
  <si>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</si>
  <si>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</si>
  <si>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</si>
  <si>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</si>
  <si>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</si>
  <si>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</si>
  <si>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</si>
  <si>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</si>
  <si>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</si>
  <si>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</si>
  <si>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</si>
  <si>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</si>
  <si>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</si>
  <si>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</si>
  <si>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</si>
  <si>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</si>
  <si>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</si>
  <si>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1.0.5</t>
  </si>
  <si>
    <t>Composant : RatingPicker (Default)</t>
  </si>
  <si>
    <t>Composant : RatingPicker (Numbers)</t>
  </si>
  <si>
    <t>Composant : RatingPicker (Stars)</t>
  </si>
  <si>
    <t>Conforme</t>
  </si>
  <si>
    <t>Non conforme</t>
  </si>
  <si>
    <t>Voir audit "SyAlert" pour l'alerte.
Default :
  - Titre (16px gras) =&gt; texte noir sur fond blanc =&gt; 21 (conforme)</t>
  </si>
  <si>
    <t>Les icônes de décoration (étoiles) possèdent un aria-hidden="true" mais ont un SVG avec le "role"="img".</t>
  </si>
  <si>
    <t>Non applicable</t>
  </si>
  <si>
    <t>Le retour du message de statut est restitué par les technologies d'assistance ("Merci pour votre réponse"). En revanche, il l'est avec le role alert. Ce role est à utiliser avec parcimonie, pour des situations importantes et généralement urgentes. Utiliser le role="status" à la place.</t>
  </si>
  <si>
    <t>Les étoiles possèdent un indicateur visuel de focus et avec un bon niveau de contraste (voir 3.3)</t>
  </si>
  <si>
    <t>Voir audit "SyAlert" pour l'alerte.
Default :
  - Étoiles :
    - normal =&gt; bordure bleue ciel sur fond blanc =&gt; 2,1 (non conforme =&gt; ratio minimum de 3)
    - cochée / hover =&gt; étoile bleue sur fond blanc =&gt; 9,38 (conforme)
    - focus =&gt; bordure bleue sur fond blanc =&gt; 5,9 (conforme)</t>
  </si>
  <si>
    <t>Le composant est contrôlable par clavier (via Tab/Space).
En revanche, il manque la selection via les flèches gauche/droite. Le Design Pattern W3C "Rating Radio Group" indique que l'utilisation de ces flèches valide le choix. Dans le cas présent, on ne peut sélectionner qu'une fois. On pourrait garder la possibilité de se déplacer via les flèches mais sans que cela sélectionne les étoiles et préciser en aria-label du titre, qu'il faut cliquer sur "Espace" pour valider définitivement la note.</t>
  </si>
  <si>
    <t>Le composant est contrôlable par clavier (via Tab/Space).
En revanche, il manque la selection via les flèches gauche/droite. Le Design Pattern W3C "Radio Group" indique que l'utilisation de ces flèches valide le choix. Dans le cas présent, on ne peut sélectionner qu'une fois. On pourrait garder la possibilité de se déplacer via les flèches mais sans que cela sélectionne les étoiles et préciser en aria-label du titre, qu'il faut cliquer sur "Espace" pour valider définitivement la note.</t>
  </si>
  <si>
    <t>Voir audit "SyAlert" pour l'alerte.
Default :
  - Titre (16px gras) =&gt; texte noir sur fond blanc =&gt; 21 (conforme)
  - "/10" (16px normal) =&gt; texte noir sur fond blanc =&gt; 21 (conforme)
  - Libellé choix (16px gras) :
    - item normal =&gt; texte bleu sur fond blanc =&gt; 9,38 (conforme)
    - item hover =&gt; texte bleu sur fond gris=&gt; 8,8 (conforme)
    - item focus =&gt; texte bleu sur fond bleu ciel =&gt; 7,7 (conforme)</t>
  </si>
  <si>
    <t>&lt;form aria-labelledby="rating-label"&gt;
  &lt;fieldset&gt;
    &lt;legend id="rating-label"&gt;Êtes-vous satisfait de ce service ?&lt;/legend&gt;
    &lt;div&gt;
      &lt;input type="radio" name="rating" value="bad" id="rating-bad" class="sr-only"&gt;
      &lt;svg&gt;&lt;/svg&gt;
      &lt;label for="rating-bad"&gt;Pas du tout &lt;span class="sr-only"&gt;(Note de 1 sur 3)&lt;/span&gt;&lt;/label&gt;
    &lt;/div&gt;
    &lt;div&gt;
      &lt;input type="radio" name="rating" value="medium" id="rating-medium" class="sr-only"&gt;
      &lt;svg&gt;&lt;/svg&gt;
      &lt;label for="rating-medium"&gt;Moyen &lt;span class="sr-only"&gt;(Note de 2 sur 3)&lt;/span&gt;&lt;/label&gt;
    &lt;/div&gt;
    &lt;div&gt;
      &lt;input type="radio" name="rating" value="perfect" id="rating-perfect" class="sr-only"&gt;
      &lt;svg&gt;&lt;/svg&gt;
      &lt;label for="rating-perfect"&gt;Parfait &lt;span class="sr-only"&gt;(Note de 3 sur 3)&lt;/span&gt;&lt;/label&gt;
    &lt;/div&gt;
  &lt;/fieldset&gt;
&lt;/form&gt;</t>
  </si>
  <si>
    <t>Ce composant devient un Select en passant en dessous de 960px. Cet audit ne prendra pas en compte ce cas de figure car il aura déjà été traité dans l'audit SySelect.</t>
  </si>
  <si>
    <t>Solution 1 - Input Radio (Recommandée) :</t>
  </si>
  <si>
    <t>Solution 2 - Boutons :</t>
  </si>
  <si>
    <t>&lt;fieldset&gt;
  &lt;legend id="rating-label"&gt;Êtes-vous satisfait de ce service ?&lt;/legend&gt;
  &lt;div role="group" aria-labelledby="rating-label"&gt;
    &lt;button type="button" aria-pressed="false" data-value="bad"&gt;
      &lt;svg&gt;&lt;/svg&gt;
      Pas du tout
    &lt;/button&gt;
    &lt;button type="button" aria-pressed="false" data-value="medium"&gt;
      &lt;svg&gt;&lt;/svg&gt;
      Moyen
    &lt;/button&gt;
    &lt;button type="button" aria-pressed="false" data-value="perfect"&gt;
      &lt;svg&gt;&lt;/svg&gt;
      Parfait
    &lt;/button&gt;
  &lt;/div&gt;
&lt;/fieldset&gt;</t>
  </si>
  <si>
    <t>Ce composant correspond au Design Pattern W3C "Radio Group". Ainsi, il doit :
- avoir un radiogroup avec un nom accessible
- avoir des items au rôle radio (input type radio) lui permettant d'avoir nativement le comportement sur les tabindex et aria-checked.</t>
  </si>
  <si>
    <t>https://www.w3.org/WAI/ARIA/apg/patterns/radio/examples/radio/</t>
  </si>
  <si>
    <t>Utiliser un fieldset avec une legend puisqu'il s'agit d'une liste de boutons radio</t>
  </si>
  <si>
    <t>https://www.accede-web.com/notices/html-et-css/formulaires/regrouper-et-titrer-les-champs-de-meme-nature-avec-fieldset-et-legend/</t>
  </si>
  <si>
    <t>La navigation clavier est :
- TAB : arriver sur le 1er radio
- Espace : selection du bouton radio si non coché
- Flèche : navigation au seins des radios en le selectionnant (cas particulier ici, voir 7.3). Tourne en boucle parmi les items (du dernier, on passe au premier et inversement).</t>
  </si>
  <si>
    <t>https://www.w3.org/WAI/ARIA/apg/patterns/radio/examples/radio-rating/</t>
  </si>
  <si>
    <t>Ce composant correspond au Design Pattern W3C "Rating Radio Group". Ainsi, il doit :
- avoir un radiogroup avec un nom accessible
- avoir des items au rôle radio (input type radio) lui permettant d'avoir nativement le comportement sur les tabindex et aria-checked.</t>
  </si>
  <si>
    <t>Voir audit "SyAlert" pour l'alerte.
Default :
  - Titre (16px gras) =&gt; texte noir sur fond blanc =&gt; 21 (conforme)
  - Texte choix (16px normal) :
    - normal =&gt; texte noir sur fond blanc =&gt; 9,52 (conforme)
    - hover/focus rouge =&gt; texte noir sur fond rouge clair =&gt; 8,37 (conforme)
    - hover/focus orange =&gt; texte noir sur fond orange clair =&gt; 8,91 (conforme)
    - hover/focus vert =&gt; texte noir sur fond vert clair =&gt; 8,59 (conforme)</t>
  </si>
  <si>
    <t xml:space="preserve">Voir audit "SyAlert" pour l'alerte.
Default :
  - bordure focus rouge :
    - fond bouton =&gt; bordure rouge sur fond rouge clair =&gt; 1,6 (non conforme =&gt; rartio minimum 3)
    - fond page =&gt; bordure rouge sur fond blanc =&gt; 1,8 (non conforme =&gt; rartio minimum 3)
  - bordure focus orange :
    - fond bouton =&gt; bordure orange sur fond orange clair =&gt; 1,4 (non conforme =&gt; rartio minimum 3)
    - fond page =&gt; bordure orange sur fond blanc =&gt; 1,5 (non conforme =&gt; rartio minimum 3)
  - bordure focus verte :
    - fond bouton =&gt; bordure verte sur fond vert clair =&gt; 1,4 (non conforme =&gt; rartio minimum 3)
    - fond page =&gt; bordure verte sur fond blanc =&gt; 1,5 (non conforme =&gt; rartio minimum 3)
  - bordure item selectionné rouge :
    - fond bouton =&gt;bordure rouge sur fond rouge clair =&gt; 7,6 (conforme)
    - fond page =&gt; bordure rouge sur fond blanc =&gt; 8,6 (conforme)
  - bordure item selectionné orange :
    - fond bouton =&gt; bordure orange sur fond orange clair =&gt; 4,6 (conforme)
    - fond page =&gt; bordure orange sur fond blanc =&gt; 5 (conforme)
  - bordure item selectionné verte :
    - fond bouton =&gt; bordure verte sur fond vert clair =&gt; 6 (conforme)
    - fond page =&gt; bordure verte sur fond blanc =&gt; 6,7 (conforme)
</t>
  </si>
  <si>
    <t>Les icônes de décoration (têtes) possèdent un aria-hidden="true" mais ont un SVG avec le "role"="img".</t>
  </si>
  <si>
    <t>Les champs sont bien regroupés dans un fieldset</t>
  </si>
  <si>
    <t>Le fieldset possède une légende</t>
  </si>
  <si>
    <t>La légende est suffisamment explicite : "Êtes-vous satisfait de ce service ?"</t>
  </si>
  <si>
    <t>Il existe bien un champ type radio mais il est mis en aria-hidden="true"</t>
  </si>
  <si>
    <t>Testé avec Assistant RGAA :
body {
line-height: 1.5 !important;
letter-spacing: 0.12em !important;
 word-spacing: 0.16em !important;
}
p { margin-bottom: 2em !important; }</t>
  </si>
  <si>
    <t>Aucun troncage de texte. Le composant n'oblige pas à avoir recours au défilement afin de permettre la visualisuation complète du contenu.</t>
  </si>
  <si>
    <t>Aucun troncage de texte. Le composant n'oblige pas à avoir recours au défilement afin de permettre la visualisuation complète du contenu. En revanche, celui-ci se transforme en Select en dessous de 960px sans que cela pose problème à la compréhension du contenu. Le SySelect en lui-même est audité à part.</t>
  </si>
  <si>
    <t>Le validateur W3C remonte ces erreurs :
- Element legend not allowed as child of element fieldset in this context. (Suppressing further errors from this subtree.) (double présence de legend)
- Any button descendant of a label element with a for attribute must have an ID value that matches that for attribute. (dans la mesure du possible, utiliser la solution 1 sans bouton, voir 7.1)
- Attribute outlined not allowed on element div at this point. (Alert)</t>
  </si>
  <si>
    <t>Le validateur W3C remonte ces erreurs :
- Attribute readonly is only allowed when the input type is date, datetime-local, email, month, number, password, search, tel, text, time, url, or week. (voir 7.1)
- Any button descendant of a label element with a for attribute must have an ID value that matches that for attribute. (dans la mesure du possible, utiliser la solution 1 sans bouton, voir 7.1)</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</si>
  <si>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</si>
  <si>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</si>
  <si>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</si>
  <si>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
En zoom texte 200%, le libellé "Numéro de sécurité sociale" est trop grand et est donc tronqué avec des points de suspensions. En revanche, au focus, le texte est lisible dans son intégralité, ce qui valide ce critère.</t>
  </si>
  <si>
    <t>Voir audit "SyAlert" pour l'alerte.
Default :
  - Bordure choix :
    - normal =&gt; bordure bleue sur fond blanc =&gt; 9,38 (conforme)
    - hover =&gt; bordure bleue sur fond blanc =&gt; 8,8 (conforme)
    - focus =&gt; bordure bleue vs bordure bleue ciel =&gt; 5,2 (conforme)</t>
  </si>
  <si>
    <t>Un focus est visible sur les choix mais le contraste n'est pas suffisant (voir 3.3)</t>
  </si>
  <si>
    <t>Les items de choix possèdent un indicateur visuel de focus et avec un bon niveau de contraste (voir 3.2 et 3.3)</t>
  </si>
  <si>
    <t>Il est possible d’atteindre l’élément suivant ou précédent pouvant recevoir le focus avec la touche de tabulation.</t>
  </si>
  <si>
    <t>L'ordre de tabulation des éléments est cohérent</t>
  </si>
  <si>
    <t>Ce critère est validé par :
  - le fait que la forme diffère entre les états non selectionné / selectionné (étoile contour / étoile pleine)
  - l'utilisation d'un contraste suffisant entre les états non selectionné / selectionné (9,38)
Pour en savoir plus, voir "Relationship with Use of Color" : https://www.w3.org/WAI/WCAG22/Understanding/non-text-contrast.html)</t>
  </si>
  <si>
    <t>Le libellé (Note de 1 sur 10) et les inputs doivent être, au contraire, disponible au lecteur d'écran uniquement (via la class sr.only) =&gt; voir solution 1 (7.1). Par ailleurs, il y a un décalage sur la note (on commence à 0/10 alors que visuellement, on est à 1/10).</t>
  </si>
  <si>
    <t>Le libellé (Note de 1 sur 3) et les inputs doivent être, au contraire, disponible au lecteur d'écran uniquement (via la class sr.only) =&gt; voir solution 1 (7.1). Par ailleurs, il y a un décalage sur la note (on commence à 0/3 alors que visuellement, on est à 1/3).</t>
  </si>
  <si>
    <t>Le libellé (Note de 1 sur 5) et les inputs doivent être, au contraire, disponible au lecteur d'écran uniquement (via la class sr.only) =&gt; voir solution 1 (7.1). Par ailleurs, il y a un décalage sur la note (on commence à 0/5 alors que visuellement, on est à 1/5).</t>
  </si>
  <si>
    <r>
      <t xml:space="preserve">La structure de code n'est pas appropriée (utilisation de bouton + input radio cachés). Voir le Design Pattern "Rating Radio Group" : https://www.w3.org/WAI/ARIA/apg/patterns/radio/examples/radio-rating/
</t>
    </r>
    <r>
      <rPr>
        <b/>
        <u/>
        <sz val="12"/>
        <color theme="1"/>
        <rFont val="Aptos Narrow (Corps)"/>
      </rPr>
      <t>Autre point négatif :</t>
    </r>
    <r>
      <rPr>
        <sz val="12"/>
        <color theme="1"/>
        <rFont val="Aptos Narrow"/>
        <scheme val="minor"/>
      </rPr>
      <t xml:space="preserve">
- L'input radio a été mis en readonly suite au vote. Il ne s'agit pas d'un attribut autorisé pour les radios, il faut donc passer par un disabled et bien expliciter que le vote n'est possible qu'une fois.</t>
    </r>
  </si>
  <si>
    <r>
      <t xml:space="preserve">La structure de code n'est pas appropriée (utilisation de bouton + input radio cachés). Voir critère 7.1 du "RatingPicker (Default)".
</t>
    </r>
    <r>
      <rPr>
        <b/>
        <u/>
        <sz val="12"/>
        <color theme="1"/>
        <rFont val="Aptos Narrow (Corps)"/>
      </rPr>
      <t xml:space="preserve">Points positifs : </t>
    </r>
    <r>
      <rPr>
        <sz val="12"/>
        <color theme="1"/>
        <rFont val="Aptos Narrow"/>
        <scheme val="minor"/>
      </rPr>
      <t xml:space="preserve">
- lorsque le vote est effectué, le lecteur d'écran bypass le contenu et indique bien "Note de 5 sur 10."
</t>
    </r>
    <r>
      <rPr>
        <b/>
        <u/>
        <sz val="12"/>
        <color theme="1"/>
        <rFont val="Aptos Narrow (Corps)"/>
      </rPr>
      <t>Autre point négatif :</t>
    </r>
    <r>
      <rPr>
        <sz val="12"/>
        <color theme="1"/>
        <rFont val="Aptos Narrow"/>
        <scheme val="minor"/>
      </rPr>
      <t xml:space="preserve">
- Bien expliciter que le vote n'est possible qu'une fois.</t>
    </r>
  </si>
  <si>
    <r>
      <t xml:space="preserve">La structure de code n'est pas appropriée. Il y a deux solutions (détail HTML tout en bas du document).
</t>
    </r>
    <r>
      <rPr>
        <b/>
        <u/>
        <sz val="12"/>
        <color theme="1"/>
        <rFont val="Aptos Narrow (Corps)"/>
      </rPr>
      <t xml:space="preserve">Solution 1 - Input Radio (Recommandée) :
</t>
    </r>
    <r>
      <rPr>
        <sz val="12"/>
        <color theme="1"/>
        <rFont val="Aptos Narrow (Corps)"/>
      </rPr>
      <t>L'objectif est d'avoir un radiogroup avec 3 input type radio. Ce radiogroup est dans un fieldset avec une legend. Répond au Design Pattern "Radio Group" : https://www.w3.org/WAI/ARIA/apg/patterns/radio/examples/radio/</t>
    </r>
    <r>
      <rPr>
        <sz val="12"/>
        <color theme="1"/>
        <rFont val="Aptos Narrow"/>
        <scheme val="minor"/>
      </rPr>
      <t xml:space="preserve">
</t>
    </r>
    <r>
      <rPr>
        <b/>
        <u/>
        <sz val="12"/>
        <color theme="1"/>
        <rFont val="Aptos Narrow (Corps)"/>
      </rPr>
      <t>Solution 2 - Boutons :</t>
    </r>
    <r>
      <rPr>
        <sz val="12"/>
        <color theme="1"/>
        <rFont val="Aptos Narrow"/>
        <scheme val="minor"/>
      </rPr>
      <t xml:space="preserve">
L'objectif est d'avoir un group avec 3 boutons (sans input type radio). La logique se fait en JavaScript. Chaque bouton possède un aria-pressed (true/false).
</t>
    </r>
    <r>
      <rPr>
        <b/>
        <u/>
        <sz val="12"/>
        <color theme="1"/>
        <rFont val="Aptos Narrow (Corps)"/>
      </rPr>
      <t>Autre point négatif :</t>
    </r>
    <r>
      <rPr>
        <sz val="12"/>
        <color theme="1"/>
        <rFont val="Aptos Narrow"/>
        <scheme val="minor"/>
      </rPr>
      <t xml:space="preserve">
- L'input radio a été mis en readonly suite au vote. Il ne s'agit pas d'un attribut autorisé pour les radios, il faut donc passer par un disabled et bien expliciter que le vote n'est possible qu'une fois.</t>
    </r>
  </si>
  <si>
    <t>utilisation d'un outline plus large pour l'état de focus</t>
  </si>
  <si>
    <t>Implémentation de la solution 1</t>
  </si>
  <si>
    <t>Mise en place de la navigation avec les flèches directionnels</t>
  </si>
  <si>
    <t>Utilisation du role status</t>
  </si>
  <si>
    <t>voir 3,3</t>
  </si>
  <si>
    <t>supression des éléments</t>
  </si>
  <si>
    <t>Utilisation du pattern Radio</t>
  </si>
  <si>
    <t>1.0.10</t>
  </si>
  <si>
    <t>Correction post audit V1 - (voir - https://github.com/assurance-maladie-digital/design-system-v3/pull/1159)</t>
  </si>
  <si>
    <t>Utilisation du role decoration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</si>
</sst>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u/>
      <sz val="12"/>
      <color theme="1"/>
      <name val="Aptos Narrow (Corps)"/>
    </font>
    <font>
      <sz val="12"/>
      <color theme="1"/>
      <name val="Aptos Narrow (Corps)"/>
    </font>
    <font>
      <sz val="12"/>
      <color rgb="FF006100"/>
      <name val="Aptos Narrow"/>
      <scheme val="minor"/>
    </font>
    <font>
      <u/>
      <sz val="12"/>
      <color theme="10"/>
      <name val="Aptos Narrow"/>
      <family val="2"/>
      <scheme val="minor"/>
    </font>
    <font>
      <b/>
      <sz val="12"/>
      <color theme="1"/>
      <name val="Aptos Narrow"/>
      <scheme val="minor"/>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cellStyleXfs>
  <cellXfs count="5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3" fillId="0" borderId="6" xfId="0" applyFont="1" applyBorder="1" applyAlignment="1">
      <alignment horizontal="left" vertical="top" wrapText="1"/>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0" fillId="0" borderId="5" xfId="0" applyFont="1" applyBorder="1" applyAlignment="1">
      <alignment horizontal="right"/>
    </xf>
    <xf numFmtId="9" fontId="13" fillId="0" borderId="5" xfId="0" applyNumberFormat="1" applyFont="1" applyBorder="1"/>
    <xf numFmtId="0" fontId="3" fillId="0" borderId="5" xfId="0" applyFont="1" applyBorder="1" applyAlignment="1">
      <alignment wrapText="1"/>
    </xf>
    <xf numFmtId="0" fontId="17" fillId="0" borderId="5" xfId="2" quotePrefix="1" applyBorder="1" applyAlignment="1">
      <alignment horizontal="left" vertical="top"/>
    </xf>
    <xf numFmtId="0" fontId="16" fillId="6" borderId="5"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8" fillId="0" borderId="5" xfId="0" applyFont="1" applyBorder="1" applyAlignment="1">
      <alignment horizontal="left" vertical="top"/>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2" fillId="0" borderId="5" xfId="0" applyFont="1"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3" fillId="0" borderId="12" xfId="0" applyFont="1" applyBorder="1" applyAlignment="1">
      <alignment horizontal="right"/>
    </xf>
    <xf numFmtId="0" fontId="16" fillId="7" borderId="5" xfId="0" applyFont="1" applyFill="1" applyBorder="1" applyAlignment="1">
      <alignment vertical="top" wrapText="1"/>
    </xf>
  </cellXfs>
  <cellStyles count="3">
    <cellStyle name="Lien hypertexte" xfId="2" builtinId="8"/>
    <cellStyle name="Normal" xfId="0" builtinId="0"/>
    <cellStyle name="Pourcentage" xfId="1" builtinId="5"/>
  </cellStyles>
  <dxfs count="77">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6100"/>
      <color rgb="FF000000"/>
      <color rgb="FFC6EFCE"/>
      <color rgb="FF4D5D50"/>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3.org/WAI/ARIA/apg/patterns/radio/examples/radio/" TargetMode="External"/><Relationship Id="rId2" Type="http://schemas.openxmlformats.org/officeDocument/2006/relationships/hyperlink" Target="https://www.accede-web.com/notices/html-et-css/formulaires/regrouper-et-titrer-les-champs-de-meme-nature-avec-fieldset-et-legend/" TargetMode="External"/><Relationship Id="rId1" Type="http://schemas.openxmlformats.org/officeDocument/2006/relationships/hyperlink" Target="https://www.w3.org/WAI/ARIA/apg/patterns/radio/examples/radio/"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w3.org/WAI/ARIA/apg/patterns/radio/examples/radio/" TargetMode="External"/><Relationship Id="rId2" Type="http://schemas.openxmlformats.org/officeDocument/2006/relationships/hyperlink" Target="https://www.accede-web.com/notices/html-et-css/formulaires/regrouper-et-titrer-les-champs-de-meme-nature-avec-fieldset-et-legend/" TargetMode="External"/><Relationship Id="rId1" Type="http://schemas.openxmlformats.org/officeDocument/2006/relationships/hyperlink" Target="https://www.w3.org/WAI/ARIA/apg/patterns/radio/examples/radi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ccede-web.com/notices/html-et-css/formulaires/regrouper-et-titrer-les-champs-de-meme-nature-avec-fieldset-et-lege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
  <sheetViews>
    <sheetView tabSelected="1" zoomScale="70" zoomScaleNormal="70" workbookViewId="0">
      <selection activeCell="F76" sqref="F76:F77"/>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9" t="s">
        <v>245</v>
      </c>
      <c r="B1" s="39"/>
      <c r="C1" s="39"/>
      <c r="D1" s="39"/>
    </row>
    <row r="2" spans="1:6" ht="17.399999999999999">
      <c r="A2" s="40" t="s">
        <v>242</v>
      </c>
      <c r="B2" s="40"/>
      <c r="C2" s="40"/>
      <c r="D2" s="19" t="s">
        <v>243</v>
      </c>
      <c r="E2" s="48" t="s">
        <v>307</v>
      </c>
    </row>
    <row r="3" spans="1:6" ht="17.399999999999999">
      <c r="A3" s="41" t="s">
        <v>234</v>
      </c>
      <c r="B3" s="41"/>
      <c r="C3" s="41"/>
      <c r="D3" s="8">
        <v>45916</v>
      </c>
      <c r="E3" s="8">
        <v>45926</v>
      </c>
    </row>
    <row r="4" spans="1:6" ht="17.399999999999999">
      <c r="A4" s="42" t="s">
        <v>238</v>
      </c>
      <c r="B4" s="43"/>
      <c r="C4" s="44"/>
      <c r="D4" s="13" t="s">
        <v>244</v>
      </c>
      <c r="E4" s="20" t="s">
        <v>306</v>
      </c>
    </row>
    <row r="5" spans="1:6" ht="16.05" customHeight="1">
      <c r="A5" s="41" t="s">
        <v>230</v>
      </c>
      <c r="B5" s="41"/>
      <c r="C5" s="41"/>
      <c r="D5" s="9">
        <f xml:space="preserve"> COUNTIF($D$14:$D$119,"Conforme")</f>
        <v>12</v>
      </c>
      <c r="E5" s="9">
        <v>20</v>
      </c>
    </row>
    <row r="6" spans="1:6" ht="17.399999999999999">
      <c r="A6" s="41" t="s">
        <v>231</v>
      </c>
      <c r="B6" s="41"/>
      <c r="C6" s="41"/>
      <c r="D6" s="9">
        <f xml:space="preserve"> COUNTIF($D$14:$D$119,"Non conforme")</f>
        <v>8</v>
      </c>
      <c r="E6" s="9">
        <v>0</v>
      </c>
    </row>
    <row r="7" spans="1:6" ht="17.399999999999999">
      <c r="A7" s="41" t="s">
        <v>237</v>
      </c>
      <c r="B7" s="41"/>
      <c r="C7" s="41"/>
      <c r="D7" s="9">
        <f xml:space="preserve"> COUNTIF($D$14:$D$119,"Non applicable")</f>
        <v>86</v>
      </c>
      <c r="E7" s="9">
        <v>86</v>
      </c>
    </row>
    <row r="8" spans="1:6" ht="17.399999999999999">
      <c r="A8" s="41" t="s">
        <v>232</v>
      </c>
      <c r="B8" s="41"/>
      <c r="C8" s="41"/>
      <c r="D8" s="9">
        <f xml:space="preserve"> COUNTIF($D$14:$D$119,"Dérogé")</f>
        <v>0</v>
      </c>
      <c r="E8" s="9">
        <v>0</v>
      </c>
    </row>
    <row r="9" spans="1:6" ht="17.399999999999999">
      <c r="A9" s="41" t="s">
        <v>233</v>
      </c>
      <c r="B9" s="41"/>
      <c r="C9" s="41"/>
      <c r="D9" s="9">
        <f xml:space="preserve"> COUNTIF($D$14:$D$119,"Non testé")</f>
        <v>0</v>
      </c>
      <c r="E9" s="9">
        <v>0</v>
      </c>
    </row>
    <row r="10" spans="1:6" ht="19.05" customHeight="1">
      <c r="A10" s="45" t="s">
        <v>239</v>
      </c>
      <c r="B10" s="46"/>
      <c r="C10" s="47"/>
      <c r="D10" s="14">
        <f>IF(SUM(D5:D6)&gt;0,D5/SUM(D5:D6),"")</f>
        <v>0.6</v>
      </c>
      <c r="E10" s="21">
        <v>1</v>
      </c>
    </row>
    <row r="11" spans="1:6" ht="19.05" customHeight="1">
      <c r="A11" s="45" t="s">
        <v>240</v>
      </c>
      <c r="B11" s="46"/>
      <c r="C11" s="47"/>
      <c r="D11" s="14">
        <f>IF(SUM(D5:D6)&gt;0,1-ROUND(D10,2),"")</f>
        <v>0.4</v>
      </c>
      <c r="E11" s="21">
        <v>0.03</v>
      </c>
    </row>
    <row r="12" spans="1:6">
      <c r="A12" s="7"/>
      <c r="B12" s="7"/>
      <c r="C12" s="7"/>
    </row>
    <row r="13" spans="1:6" ht="17.399999999999999">
      <c r="A13" s="4" t="s">
        <v>0</v>
      </c>
      <c r="B13" s="4" t="s">
        <v>229</v>
      </c>
      <c r="C13" s="4" t="s">
        <v>1</v>
      </c>
      <c r="D13" s="4" t="s">
        <v>227</v>
      </c>
      <c r="E13" s="6" t="s">
        <v>228</v>
      </c>
      <c r="F13" s="17" t="s">
        <v>241</v>
      </c>
    </row>
    <row r="14" spans="1:6" ht="17.399999999999999">
      <c r="A14" s="38" t="s">
        <v>2</v>
      </c>
      <c r="B14" s="2" t="s">
        <v>3</v>
      </c>
      <c r="C14" s="3" t="s">
        <v>4</v>
      </c>
      <c r="D14" s="5" t="s">
        <v>252</v>
      </c>
      <c r="E14" s="11"/>
      <c r="F14" s="18"/>
    </row>
    <row r="15" spans="1:6" ht="30">
      <c r="A15" s="30"/>
      <c r="B15" s="2" t="s">
        <v>5</v>
      </c>
      <c r="C15" s="3" t="s">
        <v>6</v>
      </c>
      <c r="D15" s="5" t="s">
        <v>249</v>
      </c>
      <c r="E15" s="16" t="s">
        <v>273</v>
      </c>
      <c r="F15" s="49" t="s">
        <v>308</v>
      </c>
    </row>
    <row r="16" spans="1:6" ht="30">
      <c r="A16" s="30"/>
      <c r="B16" s="2" t="s">
        <v>7</v>
      </c>
      <c r="C16" s="3" t="s">
        <v>8</v>
      </c>
      <c r="D16" s="5" t="s">
        <v>252</v>
      </c>
      <c r="E16" s="11"/>
      <c r="F16" s="18"/>
    </row>
    <row r="17" spans="1:6" ht="45">
      <c r="A17" s="30"/>
      <c r="B17" s="2" t="s">
        <v>9</v>
      </c>
      <c r="C17" s="3" t="s">
        <v>10</v>
      </c>
      <c r="D17" s="5" t="s">
        <v>252</v>
      </c>
      <c r="E17" s="11"/>
      <c r="F17" s="18"/>
    </row>
    <row r="18" spans="1:6" ht="30">
      <c r="A18" s="30"/>
      <c r="B18" s="2" t="s">
        <v>11</v>
      </c>
      <c r="C18" s="3" t="s">
        <v>12</v>
      </c>
      <c r="D18" s="5" t="s">
        <v>252</v>
      </c>
      <c r="E18" s="11"/>
      <c r="F18" s="18"/>
    </row>
    <row r="19" spans="1:6" ht="30">
      <c r="A19" s="30"/>
      <c r="B19" s="2" t="s">
        <v>13</v>
      </c>
      <c r="C19" s="3" t="s">
        <v>14</v>
      </c>
      <c r="D19" s="5" t="s">
        <v>252</v>
      </c>
      <c r="E19" s="11"/>
      <c r="F19" s="18"/>
    </row>
    <row r="20" spans="1:6" ht="30">
      <c r="A20" s="30"/>
      <c r="B20" s="2" t="s">
        <v>15</v>
      </c>
      <c r="C20" s="3" t="s">
        <v>16</v>
      </c>
      <c r="D20" s="5" t="s">
        <v>252</v>
      </c>
      <c r="E20" s="11"/>
      <c r="F20" s="18"/>
    </row>
    <row r="21" spans="1:6" ht="45">
      <c r="A21" s="30"/>
      <c r="B21" s="2" t="s">
        <v>17</v>
      </c>
      <c r="C21" s="3" t="s">
        <v>18</v>
      </c>
      <c r="D21" s="5" t="s">
        <v>252</v>
      </c>
      <c r="E21" s="11"/>
      <c r="F21" s="18"/>
    </row>
    <row r="22" spans="1:6" ht="30">
      <c r="A22" s="31"/>
      <c r="B22" s="2" t="s">
        <v>19</v>
      </c>
      <c r="C22" s="3" t="s">
        <v>20</v>
      </c>
      <c r="D22" s="5" t="s">
        <v>252</v>
      </c>
      <c r="E22" s="11"/>
      <c r="F22" s="18"/>
    </row>
    <row r="23" spans="1:6" ht="17.399999999999999">
      <c r="A23" s="29" t="s">
        <v>21</v>
      </c>
      <c r="B23" s="2" t="s">
        <v>22</v>
      </c>
      <c r="C23" s="3" t="s">
        <v>23</v>
      </c>
      <c r="D23" s="5" t="s">
        <v>252</v>
      </c>
      <c r="E23" s="11"/>
      <c r="F23" s="18"/>
    </row>
    <row r="24" spans="1:6" ht="30">
      <c r="A24" s="31"/>
      <c r="B24" s="2" t="s">
        <v>24</v>
      </c>
      <c r="C24" s="3" t="s">
        <v>25</v>
      </c>
      <c r="D24" s="5" t="s">
        <v>252</v>
      </c>
      <c r="E24" s="11"/>
      <c r="F24" s="18"/>
    </row>
    <row r="25" spans="1:6" ht="30">
      <c r="A25" s="29" t="s">
        <v>26</v>
      </c>
      <c r="B25" s="2" t="s">
        <v>27</v>
      </c>
      <c r="C25" s="3" t="s">
        <v>28</v>
      </c>
      <c r="D25" s="5" t="s">
        <v>252</v>
      </c>
      <c r="E25" s="11"/>
      <c r="F25" s="18"/>
    </row>
    <row r="26" spans="1:6" ht="135">
      <c r="A26" s="30"/>
      <c r="B26" s="2" t="s">
        <v>29</v>
      </c>
      <c r="C26" s="3" t="s">
        <v>30</v>
      </c>
      <c r="D26" s="5" t="s">
        <v>248</v>
      </c>
      <c r="E26" s="11" t="s">
        <v>271</v>
      </c>
      <c r="F26" s="18"/>
    </row>
    <row r="27" spans="1:6" ht="330">
      <c r="A27" s="31"/>
      <c r="B27" s="2" t="s">
        <v>31</v>
      </c>
      <c r="C27" s="3" t="s">
        <v>32</v>
      </c>
      <c r="D27" s="5" t="s">
        <v>249</v>
      </c>
      <c r="E27" s="11" t="s">
        <v>272</v>
      </c>
      <c r="F27" s="49" t="s">
        <v>299</v>
      </c>
    </row>
    <row r="28" spans="1:6" ht="30">
      <c r="A28" s="29" t="s">
        <v>33</v>
      </c>
      <c r="B28" s="2" t="s">
        <v>34</v>
      </c>
      <c r="C28" s="3" t="s">
        <v>35</v>
      </c>
      <c r="D28" s="5" t="s">
        <v>252</v>
      </c>
      <c r="E28" s="11"/>
      <c r="F28" s="18"/>
    </row>
    <row r="29" spans="1:6" ht="45">
      <c r="A29" s="30"/>
      <c r="B29" s="2" t="s">
        <v>36</v>
      </c>
      <c r="C29" s="3" t="s">
        <v>37</v>
      </c>
      <c r="D29" s="5" t="s">
        <v>252</v>
      </c>
      <c r="E29" s="11"/>
      <c r="F29" s="18"/>
    </row>
    <row r="30" spans="1:6" ht="30">
      <c r="A30" s="30"/>
      <c r="B30" s="2" t="s">
        <v>38</v>
      </c>
      <c r="C30" s="3" t="s">
        <v>39</v>
      </c>
      <c r="D30" s="5" t="s">
        <v>252</v>
      </c>
      <c r="E30" s="11"/>
      <c r="F30" s="18"/>
    </row>
    <row r="31" spans="1:6" ht="30">
      <c r="A31" s="30"/>
      <c r="B31" s="2" t="s">
        <v>40</v>
      </c>
      <c r="C31" s="3" t="s">
        <v>41</v>
      </c>
      <c r="D31" s="5" t="s">
        <v>252</v>
      </c>
      <c r="E31" s="11"/>
      <c r="F31" s="18"/>
    </row>
    <row r="32" spans="1:6" ht="30">
      <c r="A32" s="30"/>
      <c r="B32" s="2" t="s">
        <v>42</v>
      </c>
      <c r="C32" s="3" t="s">
        <v>43</v>
      </c>
      <c r="D32" s="5" t="s">
        <v>252</v>
      </c>
      <c r="E32" s="11"/>
      <c r="F32" s="18"/>
    </row>
    <row r="33" spans="1:6" ht="30">
      <c r="A33" s="30"/>
      <c r="B33" s="2" t="s">
        <v>44</v>
      </c>
      <c r="C33" s="3" t="s">
        <v>45</v>
      </c>
      <c r="D33" s="5" t="s">
        <v>252</v>
      </c>
      <c r="E33" s="11"/>
      <c r="F33" s="18"/>
    </row>
    <row r="34" spans="1:6" ht="30">
      <c r="A34" s="30"/>
      <c r="B34" s="2" t="s">
        <v>46</v>
      </c>
      <c r="C34" s="3" t="s">
        <v>47</v>
      </c>
      <c r="D34" s="5" t="s">
        <v>252</v>
      </c>
      <c r="E34" s="11"/>
      <c r="F34" s="18"/>
    </row>
    <row r="35" spans="1:6" ht="30">
      <c r="A35" s="30"/>
      <c r="B35" s="2" t="s">
        <v>48</v>
      </c>
      <c r="C35" s="3" t="s">
        <v>49</v>
      </c>
      <c r="D35" s="5" t="s">
        <v>252</v>
      </c>
      <c r="E35" s="11"/>
      <c r="F35" s="18"/>
    </row>
    <row r="36" spans="1:6" ht="30">
      <c r="A36" s="30"/>
      <c r="B36" s="2" t="s">
        <v>50</v>
      </c>
      <c r="C36" s="3" t="s">
        <v>51</v>
      </c>
      <c r="D36" s="5" t="s">
        <v>252</v>
      </c>
      <c r="E36" s="11"/>
      <c r="F36" s="18"/>
    </row>
    <row r="37" spans="1:6" ht="30">
      <c r="A37" s="30"/>
      <c r="B37" s="2" t="s">
        <v>52</v>
      </c>
      <c r="C37" s="3" t="s">
        <v>53</v>
      </c>
      <c r="D37" s="5" t="s">
        <v>252</v>
      </c>
      <c r="E37" s="11"/>
      <c r="F37" s="18"/>
    </row>
    <row r="38" spans="1:6" ht="30">
      <c r="A38" s="30"/>
      <c r="B38" s="2" t="s">
        <v>54</v>
      </c>
      <c r="C38" s="3" t="s">
        <v>55</v>
      </c>
      <c r="D38" s="5" t="s">
        <v>252</v>
      </c>
      <c r="E38" s="11"/>
      <c r="F38" s="18"/>
    </row>
    <row r="39" spans="1:6" ht="30">
      <c r="A39" s="30"/>
      <c r="B39" s="2" t="s">
        <v>56</v>
      </c>
      <c r="C39" s="3" t="s">
        <v>57</v>
      </c>
      <c r="D39" s="5" t="s">
        <v>252</v>
      </c>
      <c r="E39" s="11"/>
      <c r="F39" s="18"/>
    </row>
    <row r="40" spans="1:6" ht="30">
      <c r="A40" s="31"/>
      <c r="B40" s="2" t="s">
        <v>58</v>
      </c>
      <c r="C40" s="3" t="s">
        <v>59</v>
      </c>
      <c r="D40" s="5" t="s">
        <v>252</v>
      </c>
      <c r="E40" s="11"/>
      <c r="F40" s="18"/>
    </row>
    <row r="41" spans="1:6" ht="17.399999999999999">
      <c r="A41" s="29" t="s">
        <v>60</v>
      </c>
      <c r="B41" s="2" t="s">
        <v>61</v>
      </c>
      <c r="C41" s="3" t="s">
        <v>62</v>
      </c>
      <c r="D41" s="5" t="s">
        <v>252</v>
      </c>
      <c r="E41" s="11"/>
      <c r="F41" s="18"/>
    </row>
    <row r="42" spans="1:6" ht="30">
      <c r="A42" s="30"/>
      <c r="B42" s="2" t="s">
        <v>63</v>
      </c>
      <c r="C42" s="3" t="s">
        <v>64</v>
      </c>
      <c r="D42" s="5" t="s">
        <v>252</v>
      </c>
      <c r="E42" s="11"/>
      <c r="F42" s="18"/>
    </row>
    <row r="43" spans="1:6" ht="30">
      <c r="A43" s="30"/>
      <c r="B43" s="2" t="s">
        <v>65</v>
      </c>
      <c r="C43" s="3" t="s">
        <v>66</v>
      </c>
      <c r="D43" s="5" t="s">
        <v>252</v>
      </c>
      <c r="E43" s="11"/>
      <c r="F43" s="18"/>
    </row>
    <row r="44" spans="1:6" ht="30">
      <c r="A44" s="30"/>
      <c r="B44" s="2" t="s">
        <v>67</v>
      </c>
      <c r="C44" s="3" t="s">
        <v>68</v>
      </c>
      <c r="D44" s="5" t="s">
        <v>252</v>
      </c>
      <c r="E44" s="11"/>
      <c r="F44" s="18"/>
    </row>
    <row r="45" spans="1:6" ht="17.399999999999999">
      <c r="A45" s="30"/>
      <c r="B45" s="2" t="s">
        <v>69</v>
      </c>
      <c r="C45" s="3" t="s">
        <v>70</v>
      </c>
      <c r="D45" s="5" t="s">
        <v>252</v>
      </c>
      <c r="E45" s="11"/>
      <c r="F45" s="18"/>
    </row>
    <row r="46" spans="1:6" ht="30">
      <c r="A46" s="30"/>
      <c r="B46" s="2" t="s">
        <v>71</v>
      </c>
      <c r="C46" s="3" t="s">
        <v>72</v>
      </c>
      <c r="D46" s="5" t="s">
        <v>252</v>
      </c>
      <c r="E46" s="11"/>
      <c r="F46" s="18"/>
    </row>
    <row r="47" spans="1:6" ht="45">
      <c r="A47" s="30"/>
      <c r="B47" s="2" t="s">
        <v>73</v>
      </c>
      <c r="C47" s="3" t="s">
        <v>74</v>
      </c>
      <c r="D47" s="5" t="s">
        <v>252</v>
      </c>
      <c r="E47" s="11"/>
      <c r="F47" s="18"/>
    </row>
    <row r="48" spans="1:6" ht="30">
      <c r="A48" s="31"/>
      <c r="B48" s="2" t="s">
        <v>75</v>
      </c>
      <c r="C48" s="3" t="s">
        <v>76</v>
      </c>
      <c r="D48" s="5" t="s">
        <v>252</v>
      </c>
      <c r="E48" s="11"/>
      <c r="F48" s="18"/>
    </row>
    <row r="49" spans="1:6" ht="17.399999999999999">
      <c r="A49" s="29" t="s">
        <v>77</v>
      </c>
      <c r="B49" s="2" t="s">
        <v>78</v>
      </c>
      <c r="C49" s="3" t="s">
        <v>79</v>
      </c>
      <c r="D49" s="5" t="s">
        <v>252</v>
      </c>
      <c r="E49" s="11"/>
      <c r="F49" s="18"/>
    </row>
    <row r="50" spans="1:6" ht="17.399999999999999">
      <c r="A50" s="31"/>
      <c r="B50" s="2" t="s">
        <v>80</v>
      </c>
      <c r="C50" s="3" t="s">
        <v>81</v>
      </c>
      <c r="D50" s="5" t="s">
        <v>252</v>
      </c>
      <c r="E50" s="11"/>
      <c r="F50" s="18"/>
    </row>
    <row r="51" spans="1:6" ht="196.8">
      <c r="A51" s="29" t="s">
        <v>82</v>
      </c>
      <c r="B51" s="2" t="s">
        <v>83</v>
      </c>
      <c r="C51" s="3" t="s">
        <v>84</v>
      </c>
      <c r="D51" s="5" t="s">
        <v>249</v>
      </c>
      <c r="E51" s="25" t="s">
        <v>298</v>
      </c>
      <c r="F51" s="49" t="s">
        <v>300</v>
      </c>
    </row>
    <row r="52" spans="1:6" ht="30">
      <c r="A52" s="30"/>
      <c r="B52" s="2" t="s">
        <v>85</v>
      </c>
      <c r="C52" s="3" t="s">
        <v>86</v>
      </c>
      <c r="D52" s="5" t="s">
        <v>252</v>
      </c>
      <c r="E52" s="11"/>
      <c r="F52" s="18"/>
    </row>
    <row r="53" spans="1:6" ht="75">
      <c r="A53" s="30"/>
      <c r="B53" s="2" t="s">
        <v>87</v>
      </c>
      <c r="C53" s="3" t="s">
        <v>88</v>
      </c>
      <c r="D53" s="5" t="s">
        <v>249</v>
      </c>
      <c r="E53" s="11" t="s">
        <v>257</v>
      </c>
      <c r="F53" s="49" t="s">
        <v>301</v>
      </c>
    </row>
    <row r="54" spans="1:6" ht="30">
      <c r="A54" s="30"/>
      <c r="B54" s="2" t="s">
        <v>89</v>
      </c>
      <c r="C54" s="3" t="s">
        <v>90</v>
      </c>
      <c r="D54" s="5" t="s">
        <v>252</v>
      </c>
      <c r="E54" s="11"/>
      <c r="F54" s="18"/>
    </row>
    <row r="55" spans="1:6" ht="30">
      <c r="A55" s="31"/>
      <c r="B55" s="2" t="s">
        <v>91</v>
      </c>
      <c r="C55" s="3" t="s">
        <v>92</v>
      </c>
      <c r="D55" s="5" t="s">
        <v>249</v>
      </c>
      <c r="E55" s="11" t="s">
        <v>253</v>
      </c>
      <c r="F55" s="49" t="s">
        <v>302</v>
      </c>
    </row>
    <row r="56" spans="1:6" ht="17.399999999999999">
      <c r="A56" s="29" t="s">
        <v>93</v>
      </c>
      <c r="B56" s="2" t="s">
        <v>94</v>
      </c>
      <c r="C56" s="3" t="s">
        <v>95</v>
      </c>
      <c r="D56" s="5" t="s">
        <v>252</v>
      </c>
      <c r="E56" s="11"/>
      <c r="F56" s="18"/>
    </row>
    <row r="57" spans="1:6" ht="75">
      <c r="A57" s="30"/>
      <c r="B57" s="2" t="s">
        <v>96</v>
      </c>
      <c r="C57" s="3" t="s">
        <v>97</v>
      </c>
      <c r="D57" s="5" t="s">
        <v>249</v>
      </c>
      <c r="E57" s="11" t="s">
        <v>282</v>
      </c>
      <c r="F57" s="49" t="s">
        <v>305</v>
      </c>
    </row>
    <row r="58" spans="1:6" ht="17.399999999999999">
      <c r="A58" s="30"/>
      <c r="B58" s="2" t="s">
        <v>98</v>
      </c>
      <c r="C58" s="3" t="s">
        <v>99</v>
      </c>
      <c r="D58" s="5" t="s">
        <v>252</v>
      </c>
      <c r="E58" s="11"/>
      <c r="F58" s="18"/>
    </row>
    <row r="59" spans="1:6" ht="30">
      <c r="A59" s="30"/>
      <c r="B59" s="2" t="s">
        <v>100</v>
      </c>
      <c r="C59" s="3" t="s">
        <v>101</v>
      </c>
      <c r="D59" s="5" t="s">
        <v>252</v>
      </c>
      <c r="E59" s="11"/>
      <c r="F59" s="18"/>
    </row>
    <row r="60" spans="1:6" ht="17.399999999999999">
      <c r="A60" s="30"/>
      <c r="B60" s="2" t="s">
        <v>102</v>
      </c>
      <c r="C60" s="3" t="s">
        <v>103</v>
      </c>
      <c r="D60" s="5" t="s">
        <v>252</v>
      </c>
      <c r="E60" s="11"/>
      <c r="F60" s="18"/>
    </row>
    <row r="61" spans="1:6" ht="17.399999999999999">
      <c r="A61" s="30"/>
      <c r="B61" s="2" t="s">
        <v>104</v>
      </c>
      <c r="C61" s="3" t="s">
        <v>105</v>
      </c>
      <c r="D61" s="5" t="s">
        <v>252</v>
      </c>
      <c r="E61" s="11"/>
      <c r="F61" s="18"/>
    </row>
    <row r="62" spans="1:6" ht="30">
      <c r="A62" s="30"/>
      <c r="B62" s="2" t="s">
        <v>106</v>
      </c>
      <c r="C62" s="3" t="s">
        <v>107</v>
      </c>
      <c r="D62" s="5" t="s">
        <v>252</v>
      </c>
      <c r="E62" s="11"/>
      <c r="F62" s="18"/>
    </row>
    <row r="63" spans="1:6" ht="30">
      <c r="A63" s="30"/>
      <c r="B63" s="2" t="s">
        <v>108</v>
      </c>
      <c r="C63" s="3" t="s">
        <v>109</v>
      </c>
      <c r="D63" s="5" t="s">
        <v>252</v>
      </c>
      <c r="E63" s="11"/>
      <c r="F63" s="18"/>
    </row>
    <row r="64" spans="1:6" ht="30">
      <c r="A64" s="30"/>
      <c r="B64" s="2" t="s">
        <v>110</v>
      </c>
      <c r="C64" s="3" t="s">
        <v>111</v>
      </c>
      <c r="D64" s="5" t="s">
        <v>252</v>
      </c>
      <c r="E64" s="11"/>
      <c r="F64" s="18"/>
    </row>
    <row r="65" spans="1:6" ht="30">
      <c r="A65" s="31"/>
      <c r="B65" s="2" t="s">
        <v>112</v>
      </c>
      <c r="C65" s="3" t="s">
        <v>113</v>
      </c>
      <c r="D65" s="5" t="s">
        <v>252</v>
      </c>
      <c r="E65" s="11"/>
      <c r="F65" s="18"/>
    </row>
    <row r="66" spans="1:6" ht="30">
      <c r="A66" s="29" t="s">
        <v>114</v>
      </c>
      <c r="B66" s="2" t="s">
        <v>115</v>
      </c>
      <c r="C66" s="3" t="s">
        <v>116</v>
      </c>
      <c r="D66" s="5" t="s">
        <v>252</v>
      </c>
      <c r="E66" s="11"/>
      <c r="F66" s="18"/>
    </row>
    <row r="67" spans="1:6" ht="30">
      <c r="A67" s="30"/>
      <c r="B67" s="2" t="s">
        <v>117</v>
      </c>
      <c r="C67" s="3" t="s">
        <v>118</v>
      </c>
      <c r="D67" s="5" t="s">
        <v>252</v>
      </c>
      <c r="E67" s="11"/>
      <c r="F67" s="18"/>
    </row>
    <row r="68" spans="1:6" ht="17.399999999999999">
      <c r="A68" s="30"/>
      <c r="B68" s="2" t="s">
        <v>119</v>
      </c>
      <c r="C68" s="3" t="s">
        <v>120</v>
      </c>
      <c r="D68" s="5" t="s">
        <v>252</v>
      </c>
      <c r="E68" s="11"/>
      <c r="F68" s="18"/>
    </row>
    <row r="69" spans="1:6" ht="30">
      <c r="A69" s="31"/>
      <c r="B69" s="2" t="s">
        <v>121</v>
      </c>
      <c r="C69" s="3" t="s">
        <v>122</v>
      </c>
      <c r="D69" s="5" t="s">
        <v>252</v>
      </c>
      <c r="E69" s="11"/>
      <c r="F69" s="18"/>
    </row>
    <row r="70" spans="1:6" ht="45">
      <c r="A70" s="29" t="s">
        <v>123</v>
      </c>
      <c r="B70" s="2" t="s">
        <v>124</v>
      </c>
      <c r="C70" s="3" t="s">
        <v>125</v>
      </c>
      <c r="D70" s="5" t="s">
        <v>248</v>
      </c>
      <c r="E70" s="11" t="s">
        <v>283</v>
      </c>
      <c r="F70" s="18"/>
    </row>
    <row r="71" spans="1:6" ht="30">
      <c r="A71" s="30"/>
      <c r="B71" s="2" t="s">
        <v>126</v>
      </c>
      <c r="C71" s="3" t="s">
        <v>127</v>
      </c>
      <c r="D71" s="5" t="s">
        <v>248</v>
      </c>
      <c r="E71" s="11" t="s">
        <v>284</v>
      </c>
      <c r="F71" s="18"/>
    </row>
    <row r="72" spans="1:6" ht="30">
      <c r="A72" s="30"/>
      <c r="B72" s="2" t="s">
        <v>128</v>
      </c>
      <c r="C72" s="3" t="s">
        <v>129</v>
      </c>
      <c r="D72" s="5" t="s">
        <v>248</v>
      </c>
      <c r="E72" s="11" t="s">
        <v>285</v>
      </c>
      <c r="F72" s="18"/>
    </row>
    <row r="73" spans="1:6" ht="45">
      <c r="A73" s="30"/>
      <c r="B73" s="2" t="s">
        <v>130</v>
      </c>
      <c r="C73" s="3" t="s">
        <v>131</v>
      </c>
      <c r="D73" s="5" t="s">
        <v>248</v>
      </c>
      <c r="E73" s="11" t="s">
        <v>286</v>
      </c>
      <c r="F73" s="18"/>
    </row>
    <row r="74" spans="1:6" ht="30">
      <c r="A74" s="30"/>
      <c r="B74" s="2" t="s">
        <v>132</v>
      </c>
      <c r="C74" s="3" t="s">
        <v>133</v>
      </c>
      <c r="D74" s="5" t="s">
        <v>252</v>
      </c>
      <c r="E74" s="11"/>
      <c r="F74" s="18"/>
    </row>
    <row r="75" spans="1:6" ht="30">
      <c r="A75" s="30"/>
      <c r="B75" s="2" t="s">
        <v>134</v>
      </c>
      <c r="C75" s="3" t="s">
        <v>135</v>
      </c>
      <c r="D75" s="5" t="s">
        <v>252</v>
      </c>
      <c r="E75" s="11"/>
      <c r="F75" s="18"/>
    </row>
    <row r="76" spans="1:6" ht="30">
      <c r="A76" s="30"/>
      <c r="B76" s="2" t="s">
        <v>136</v>
      </c>
      <c r="C76" s="3" t="s">
        <v>137</v>
      </c>
      <c r="D76" s="5" t="s">
        <v>249</v>
      </c>
      <c r="E76" s="11" t="s">
        <v>288</v>
      </c>
      <c r="F76" s="49" t="s">
        <v>303</v>
      </c>
    </row>
    <row r="77" spans="1:6" ht="30">
      <c r="A77" s="30"/>
      <c r="B77" s="2" t="s">
        <v>138</v>
      </c>
      <c r="C77" s="3" t="s">
        <v>139</v>
      </c>
      <c r="D77" s="5" t="s">
        <v>249</v>
      </c>
      <c r="E77" s="11" t="s">
        <v>294</v>
      </c>
      <c r="F77" s="49" t="s">
        <v>304</v>
      </c>
    </row>
    <row r="78" spans="1:6" ht="45">
      <c r="A78" s="30"/>
      <c r="B78" s="2" t="s">
        <v>140</v>
      </c>
      <c r="C78" s="3" t="s">
        <v>141</v>
      </c>
      <c r="D78" s="5" t="s">
        <v>252</v>
      </c>
      <c r="E78" s="11"/>
      <c r="F78" s="18"/>
    </row>
    <row r="79" spans="1:6" ht="45">
      <c r="A79" s="30"/>
      <c r="B79" s="2" t="s">
        <v>142</v>
      </c>
      <c r="C79" s="3" t="s">
        <v>143</v>
      </c>
      <c r="D79" s="5" t="s">
        <v>252</v>
      </c>
      <c r="E79" s="11"/>
      <c r="F79" s="18"/>
    </row>
    <row r="80" spans="1:6" ht="75">
      <c r="A80" s="30"/>
      <c r="B80" s="2" t="s">
        <v>144</v>
      </c>
      <c r="C80" s="3" t="s">
        <v>145</v>
      </c>
      <c r="D80" s="5" t="s">
        <v>248</v>
      </c>
      <c r="E80" s="16" t="s">
        <v>279</v>
      </c>
      <c r="F80" s="18"/>
    </row>
    <row r="81" spans="1:6" ht="105">
      <c r="A81" s="30"/>
      <c r="B81" s="2" t="s">
        <v>146</v>
      </c>
      <c r="C81" s="3" t="s">
        <v>147</v>
      </c>
      <c r="D81" s="5" t="s">
        <v>248</v>
      </c>
      <c r="E81" s="16" t="s">
        <v>278</v>
      </c>
      <c r="F81" s="18"/>
    </row>
    <row r="82" spans="1:6" ht="45">
      <c r="A82" s="30"/>
      <c r="B82" s="2" t="s">
        <v>148</v>
      </c>
      <c r="C82" s="3" t="s">
        <v>149</v>
      </c>
      <c r="D82" s="5" t="s">
        <v>252</v>
      </c>
      <c r="E82" s="11"/>
      <c r="F82" s="18"/>
    </row>
    <row r="83" spans="1:6" ht="45">
      <c r="A83" s="31"/>
      <c r="B83" s="2" t="s">
        <v>150</v>
      </c>
      <c r="C83" s="3" t="s">
        <v>151</v>
      </c>
      <c r="D83" s="5" t="s">
        <v>252</v>
      </c>
      <c r="E83" s="11"/>
      <c r="F83" s="18"/>
    </row>
    <row r="84" spans="1:6" ht="17.399999999999999">
      <c r="A84" s="29" t="s">
        <v>152</v>
      </c>
      <c r="B84" s="2" t="s">
        <v>153</v>
      </c>
      <c r="C84" s="3" t="s">
        <v>154</v>
      </c>
      <c r="D84" s="5" t="s">
        <v>252</v>
      </c>
      <c r="E84" s="11" t="s">
        <v>277</v>
      </c>
      <c r="F84" s="18"/>
    </row>
    <row r="85" spans="1:6" ht="30">
      <c r="A85" s="30"/>
      <c r="B85" s="2" t="s">
        <v>155</v>
      </c>
      <c r="C85" s="3" t="s">
        <v>156</v>
      </c>
      <c r="D85" s="5" t="s">
        <v>252</v>
      </c>
      <c r="E85" s="11" t="s">
        <v>277</v>
      </c>
      <c r="F85" s="18"/>
    </row>
    <row r="86" spans="1:6" ht="45">
      <c r="A86" s="30"/>
      <c r="B86" s="2" t="s">
        <v>157</v>
      </c>
      <c r="C86" s="3" t="s">
        <v>158</v>
      </c>
      <c r="D86" s="5" t="s">
        <v>252</v>
      </c>
      <c r="E86" s="11"/>
      <c r="F86" s="18"/>
    </row>
    <row r="87" spans="1:6" ht="30">
      <c r="A87" s="30"/>
      <c r="B87" s="2" t="s">
        <v>159</v>
      </c>
      <c r="C87" s="3" t="s">
        <v>160</v>
      </c>
      <c r="D87" s="5" t="s">
        <v>252</v>
      </c>
      <c r="E87" s="11" t="s">
        <v>277</v>
      </c>
      <c r="F87" s="18"/>
    </row>
    <row r="88" spans="1:6" ht="30">
      <c r="A88" s="30"/>
      <c r="B88" s="2" t="s">
        <v>161</v>
      </c>
      <c r="C88" s="3" t="s">
        <v>162</v>
      </c>
      <c r="D88" s="5" t="s">
        <v>248</v>
      </c>
      <c r="E88" s="11" t="s">
        <v>274</v>
      </c>
      <c r="F88" s="18"/>
    </row>
    <row r="89" spans="1:6" ht="30">
      <c r="A89" s="30"/>
      <c r="B89" s="2" t="s">
        <v>163</v>
      </c>
      <c r="C89" s="3" t="s">
        <v>164</v>
      </c>
      <c r="D89" s="5" t="s">
        <v>248</v>
      </c>
      <c r="E89" s="11" t="s">
        <v>275</v>
      </c>
      <c r="F89" s="18"/>
    </row>
    <row r="90" spans="1:6" ht="30">
      <c r="A90" s="30"/>
      <c r="B90" s="2" t="s">
        <v>165</v>
      </c>
      <c r="C90" s="3" t="s">
        <v>166</v>
      </c>
      <c r="D90" s="5" t="s">
        <v>248</v>
      </c>
      <c r="E90" s="11" t="s">
        <v>276</v>
      </c>
      <c r="F90" s="18"/>
    </row>
    <row r="91" spans="1:6" ht="30">
      <c r="A91" s="30"/>
      <c r="B91" s="2" t="s">
        <v>167</v>
      </c>
      <c r="C91" s="3" t="s">
        <v>168</v>
      </c>
      <c r="D91" s="5" t="s">
        <v>252</v>
      </c>
      <c r="E91" s="11"/>
      <c r="F91" s="18"/>
    </row>
    <row r="92" spans="1:6" ht="30">
      <c r="A92" s="30"/>
      <c r="B92" s="2" t="s">
        <v>169</v>
      </c>
      <c r="C92" s="3" t="s">
        <v>170</v>
      </c>
      <c r="D92" s="5" t="s">
        <v>252</v>
      </c>
      <c r="E92" s="11"/>
      <c r="F92" s="18"/>
    </row>
    <row r="93" spans="1:6" ht="30">
      <c r="A93" s="30"/>
      <c r="B93" s="2" t="s">
        <v>171</v>
      </c>
      <c r="C93" s="3" t="s">
        <v>172</v>
      </c>
      <c r="D93" s="5" t="s">
        <v>252</v>
      </c>
      <c r="E93" s="11"/>
      <c r="F93" s="18"/>
    </row>
    <row r="94" spans="1:6" ht="45">
      <c r="A94" s="30"/>
      <c r="B94" s="2" t="s">
        <v>173</v>
      </c>
      <c r="C94" s="3" t="s">
        <v>174</v>
      </c>
      <c r="D94" s="5" t="s">
        <v>252</v>
      </c>
      <c r="E94" s="11"/>
      <c r="F94" s="18"/>
    </row>
    <row r="95" spans="1:6" ht="60">
      <c r="A95" s="30"/>
      <c r="B95" s="2" t="s">
        <v>175</v>
      </c>
      <c r="C95" s="3" t="s">
        <v>176</v>
      </c>
      <c r="D95" s="5" t="s">
        <v>252</v>
      </c>
      <c r="E95" s="11"/>
      <c r="F95" s="18"/>
    </row>
    <row r="96" spans="1:6" ht="30">
      <c r="A96" s="31"/>
      <c r="B96" s="2" t="s">
        <v>177</v>
      </c>
      <c r="C96" s="3" t="s">
        <v>178</v>
      </c>
      <c r="D96" s="5" t="s">
        <v>252</v>
      </c>
      <c r="E96" s="11"/>
      <c r="F96" s="18"/>
    </row>
    <row r="97" spans="1:6" ht="30">
      <c r="A97" s="29" t="s">
        <v>179</v>
      </c>
      <c r="B97" s="2" t="s">
        <v>180</v>
      </c>
      <c r="C97" s="3" t="s">
        <v>181</v>
      </c>
      <c r="D97" s="5" t="s">
        <v>252</v>
      </c>
      <c r="E97" s="11"/>
      <c r="F97" s="18"/>
    </row>
    <row r="98" spans="1:6" ht="30">
      <c r="A98" s="30"/>
      <c r="B98" s="2" t="s">
        <v>182</v>
      </c>
      <c r="C98" s="3" t="s">
        <v>183</v>
      </c>
      <c r="D98" s="5" t="s">
        <v>252</v>
      </c>
      <c r="E98" s="11"/>
      <c r="F98" s="18"/>
    </row>
    <row r="99" spans="1:6" ht="17.399999999999999">
      <c r="A99" s="30"/>
      <c r="B99" s="2" t="s">
        <v>184</v>
      </c>
      <c r="C99" s="3" t="s">
        <v>185</v>
      </c>
      <c r="D99" s="5" t="s">
        <v>252</v>
      </c>
      <c r="E99" s="11"/>
      <c r="F99" s="18"/>
    </row>
    <row r="100" spans="1:6" ht="30">
      <c r="A100" s="30"/>
      <c r="B100" s="2" t="s">
        <v>186</v>
      </c>
      <c r="C100" s="3" t="s">
        <v>187</v>
      </c>
      <c r="D100" s="5" t="s">
        <v>252</v>
      </c>
      <c r="E100" s="11"/>
      <c r="F100" s="18"/>
    </row>
    <row r="101" spans="1:6" ht="30">
      <c r="A101" s="30"/>
      <c r="B101" s="2" t="s">
        <v>188</v>
      </c>
      <c r="C101" s="3" t="s">
        <v>189</v>
      </c>
      <c r="D101" s="5" t="s">
        <v>252</v>
      </c>
      <c r="E101" s="11"/>
      <c r="F101" s="18"/>
    </row>
    <row r="102" spans="1:6" ht="60">
      <c r="A102" s="30"/>
      <c r="B102" s="2" t="s">
        <v>190</v>
      </c>
      <c r="C102" s="3" t="s">
        <v>191</v>
      </c>
      <c r="D102" s="5" t="s">
        <v>252</v>
      </c>
      <c r="E102" s="11"/>
      <c r="F102" s="18"/>
    </row>
    <row r="103" spans="1:6" ht="30">
      <c r="A103" s="30"/>
      <c r="B103" s="2" t="s">
        <v>192</v>
      </c>
      <c r="C103" s="3" t="s">
        <v>193</v>
      </c>
      <c r="D103" s="5" t="s">
        <v>252</v>
      </c>
      <c r="E103" s="11"/>
      <c r="F103" s="18"/>
    </row>
    <row r="104" spans="1:6" ht="17.399999999999999">
      <c r="A104" s="30"/>
      <c r="B104" s="2" t="s">
        <v>194</v>
      </c>
      <c r="C104" s="3" t="s">
        <v>195</v>
      </c>
      <c r="D104" s="5" t="s">
        <v>252</v>
      </c>
      <c r="E104" s="11"/>
      <c r="F104" s="18"/>
    </row>
    <row r="105" spans="1:6" ht="30">
      <c r="A105" s="30"/>
      <c r="B105" s="2" t="s">
        <v>196</v>
      </c>
      <c r="C105" s="3" t="s">
        <v>197</v>
      </c>
      <c r="D105" s="5" t="s">
        <v>248</v>
      </c>
      <c r="E105" s="11" t="s">
        <v>291</v>
      </c>
      <c r="F105" s="18"/>
    </row>
    <row r="106" spans="1:6" ht="45">
      <c r="A106" s="30"/>
      <c r="B106" s="2" t="s">
        <v>198</v>
      </c>
      <c r="C106" s="3" t="s">
        <v>199</v>
      </c>
      <c r="D106" s="5" t="s">
        <v>248</v>
      </c>
      <c r="E106" s="11" t="s">
        <v>290</v>
      </c>
      <c r="F106" s="18"/>
    </row>
    <row r="107" spans="1:6" ht="45">
      <c r="A107" s="31"/>
      <c r="B107" s="2" t="s">
        <v>200</v>
      </c>
      <c r="C107" s="3" t="s">
        <v>201</v>
      </c>
      <c r="D107" s="5" t="s">
        <v>252</v>
      </c>
      <c r="E107" s="11"/>
      <c r="F107" s="18"/>
    </row>
    <row r="108" spans="1:6" ht="30">
      <c r="A108" s="29" t="s">
        <v>202</v>
      </c>
      <c r="B108" s="2" t="s">
        <v>203</v>
      </c>
      <c r="C108" s="3" t="s">
        <v>204</v>
      </c>
      <c r="D108" s="5" t="s">
        <v>252</v>
      </c>
      <c r="E108" s="11"/>
      <c r="F108" s="18"/>
    </row>
    <row r="109" spans="1:6" ht="45">
      <c r="A109" s="30"/>
      <c r="B109" s="2" t="s">
        <v>205</v>
      </c>
      <c r="C109" s="3" t="s">
        <v>206</v>
      </c>
      <c r="D109" s="5" t="s">
        <v>252</v>
      </c>
      <c r="E109" s="11"/>
      <c r="F109" s="18"/>
    </row>
    <row r="110" spans="1:6" ht="45">
      <c r="A110" s="30"/>
      <c r="B110" s="2" t="s">
        <v>207</v>
      </c>
      <c r="C110" s="3" t="s">
        <v>208</v>
      </c>
      <c r="D110" s="5" t="s">
        <v>252</v>
      </c>
      <c r="E110" s="11"/>
      <c r="F110" s="18"/>
    </row>
    <row r="111" spans="1:6" ht="30">
      <c r="A111" s="30"/>
      <c r="B111" s="2" t="s">
        <v>209</v>
      </c>
      <c r="C111" s="3" t="s">
        <v>210</v>
      </c>
      <c r="D111" s="5" t="s">
        <v>252</v>
      </c>
      <c r="E111" s="11"/>
      <c r="F111" s="18"/>
    </row>
    <row r="112" spans="1:6" ht="30">
      <c r="A112" s="30"/>
      <c r="B112" s="2" t="s">
        <v>211</v>
      </c>
      <c r="C112" s="3" t="s">
        <v>212</v>
      </c>
      <c r="D112" s="5" t="s">
        <v>252</v>
      </c>
      <c r="E112" s="11"/>
      <c r="F112" s="18"/>
    </row>
    <row r="113" spans="1:6" ht="45">
      <c r="A113" s="30"/>
      <c r="B113" s="2" t="s">
        <v>213</v>
      </c>
      <c r="C113" s="3" t="s">
        <v>214</v>
      </c>
      <c r="D113" s="5" t="s">
        <v>252</v>
      </c>
      <c r="E113" s="11"/>
      <c r="F113" s="18"/>
    </row>
    <row r="114" spans="1:6" ht="30">
      <c r="A114" s="30"/>
      <c r="B114" s="2" t="s">
        <v>215</v>
      </c>
      <c r="C114" s="3" t="s">
        <v>216</v>
      </c>
      <c r="D114" s="5" t="s">
        <v>252</v>
      </c>
      <c r="E114" s="11"/>
      <c r="F114" s="18"/>
    </row>
    <row r="115" spans="1:6" ht="30">
      <c r="A115" s="30"/>
      <c r="B115" s="2" t="s">
        <v>217</v>
      </c>
      <c r="C115" s="3" t="s">
        <v>218</v>
      </c>
      <c r="D115" s="5" t="s">
        <v>252</v>
      </c>
      <c r="E115" s="11"/>
      <c r="F115" s="18"/>
    </row>
    <row r="116" spans="1:6" ht="30">
      <c r="A116" s="30"/>
      <c r="B116" s="2" t="s">
        <v>219</v>
      </c>
      <c r="C116" s="3" t="s">
        <v>220</v>
      </c>
      <c r="D116" s="5" t="s">
        <v>252</v>
      </c>
      <c r="E116" s="11"/>
      <c r="F116" s="18"/>
    </row>
    <row r="117" spans="1:6" ht="45">
      <c r="A117" s="30"/>
      <c r="B117" s="2" t="s">
        <v>221</v>
      </c>
      <c r="C117" s="3" t="s">
        <v>222</v>
      </c>
      <c r="D117" s="5" t="s">
        <v>252</v>
      </c>
      <c r="E117" s="11"/>
      <c r="F117" s="18"/>
    </row>
    <row r="118" spans="1:6" ht="45">
      <c r="A118" s="30"/>
      <c r="B118" s="2" t="s">
        <v>223</v>
      </c>
      <c r="C118" s="3" t="s">
        <v>224</v>
      </c>
      <c r="D118" s="5" t="s">
        <v>252</v>
      </c>
      <c r="E118" s="11"/>
      <c r="F118" s="18"/>
    </row>
    <row r="119" spans="1:6" ht="45">
      <c r="A119" s="31"/>
      <c r="B119" s="2" t="s">
        <v>225</v>
      </c>
      <c r="C119" s="3" t="s">
        <v>226</v>
      </c>
      <c r="D119" s="5" t="s">
        <v>252</v>
      </c>
      <c r="E119" s="11"/>
      <c r="F119" s="18"/>
    </row>
    <row r="123" spans="1:6">
      <c r="A123" s="32" t="s">
        <v>235</v>
      </c>
      <c r="B123" s="32"/>
      <c r="C123" s="32"/>
      <c r="D123" s="32"/>
      <c r="E123" s="10" t="s">
        <v>236</v>
      </c>
    </row>
    <row r="124" spans="1:6" ht="34.950000000000003" customHeight="1">
      <c r="A124" s="33" t="s">
        <v>260</v>
      </c>
      <c r="B124" s="33"/>
      <c r="C124" s="33"/>
      <c r="D124" s="33"/>
      <c r="E124" s="15"/>
    </row>
    <row r="125" spans="1:6" ht="70.05" customHeight="1">
      <c r="A125" s="34" t="s">
        <v>264</v>
      </c>
      <c r="B125" s="35"/>
      <c r="C125" s="35"/>
      <c r="D125" s="36"/>
      <c r="E125" s="23" t="s">
        <v>265</v>
      </c>
    </row>
    <row r="126" spans="1:6" ht="97.05" customHeight="1">
      <c r="A126" s="34" t="s">
        <v>268</v>
      </c>
      <c r="B126" s="27"/>
      <c r="C126" s="27"/>
      <c r="D126" s="28"/>
      <c r="E126" s="23" t="s">
        <v>265</v>
      </c>
    </row>
    <row r="127" spans="1:6">
      <c r="A127" s="34" t="s">
        <v>266</v>
      </c>
      <c r="B127" s="35"/>
      <c r="C127" s="35"/>
      <c r="D127" s="36"/>
      <c r="E127" s="23" t="s">
        <v>267</v>
      </c>
    </row>
    <row r="128" spans="1:6">
      <c r="A128" s="26"/>
      <c r="B128" s="27"/>
      <c r="C128" s="27"/>
      <c r="D128" s="28"/>
      <c r="E128" s="15"/>
    </row>
    <row r="141" spans="3:5" ht="315">
      <c r="C141" s="37" t="s">
        <v>261</v>
      </c>
      <c r="D141" s="37"/>
      <c r="E141" s="22" t="s">
        <v>259</v>
      </c>
    </row>
    <row r="142" spans="3:5" ht="270">
      <c r="C142" s="37" t="s">
        <v>262</v>
      </c>
      <c r="D142" s="37"/>
      <c r="E142" s="22" t="s">
        <v>263</v>
      </c>
    </row>
  </sheetData>
  <mergeCells count="32">
    <mergeCell ref="C141:D141"/>
    <mergeCell ref="C142:D142"/>
    <mergeCell ref="A126:D126"/>
    <mergeCell ref="A14:A22"/>
    <mergeCell ref="A1:D1"/>
    <mergeCell ref="A2:C2"/>
    <mergeCell ref="A3:C3"/>
    <mergeCell ref="A4:C4"/>
    <mergeCell ref="A5:C5"/>
    <mergeCell ref="A6:C6"/>
    <mergeCell ref="A7:C7"/>
    <mergeCell ref="A8:C8"/>
    <mergeCell ref="A9:C9"/>
    <mergeCell ref="A10:C10"/>
    <mergeCell ref="A11:C11"/>
    <mergeCell ref="A108:A119"/>
    <mergeCell ref="A23:A24"/>
    <mergeCell ref="A25:A27"/>
    <mergeCell ref="A28:A40"/>
    <mergeCell ref="A41:A48"/>
    <mergeCell ref="A49:A50"/>
    <mergeCell ref="A51:A55"/>
    <mergeCell ref="A56:A65"/>
    <mergeCell ref="A66:A69"/>
    <mergeCell ref="A70:A83"/>
    <mergeCell ref="A84:A96"/>
    <mergeCell ref="A128:D128"/>
    <mergeCell ref="A97:A107"/>
    <mergeCell ref="A123:D123"/>
    <mergeCell ref="A124:D124"/>
    <mergeCell ref="A125:D125"/>
    <mergeCell ref="A127:D127"/>
  </mergeCells>
  <conditionalFormatting sqref="D14:E14 D14:D22 D53:D56 D54:E54">
    <cfRule type="expression" dxfId="76" priority="31">
      <formula>$D14="Non testé"</formula>
    </cfRule>
  </conditionalFormatting>
  <conditionalFormatting sqref="D14:E14 D14:D22 D16:E25 D53:D56 D54:E54 D80:D81 D56:E76 D77 D78:E79">
    <cfRule type="expression" dxfId="75" priority="34">
      <formula>$D14="Non conforme"</formula>
    </cfRule>
    <cfRule type="expression" dxfId="74" priority="33">
      <formula>$D14="Conforme"</formula>
    </cfRule>
    <cfRule type="expression" dxfId="73" priority="32">
      <formula>$D14="Dérogé"</formula>
    </cfRule>
  </conditionalFormatting>
  <conditionalFormatting sqref="D16:E52">
    <cfRule type="expression" dxfId="72" priority="23">
      <formula>$D16="Non testé"</formula>
    </cfRule>
  </conditionalFormatting>
  <conditionalFormatting sqref="D26:E52">
    <cfRule type="expression" dxfId="71" priority="26">
      <formula>$D26="Non conforme"</formula>
    </cfRule>
    <cfRule type="expression" dxfId="70" priority="25">
      <formula>$D26="Conforme"</formula>
    </cfRule>
    <cfRule type="expression" dxfId="69" priority="24">
      <formula>$D26="Dérogé"</formula>
    </cfRule>
  </conditionalFormatting>
  <conditionalFormatting sqref="D56:E76 D77 D78:E119">
    <cfRule type="expression" dxfId="68" priority="5">
      <formula>$D56="Non testé"</formula>
    </cfRule>
  </conditionalFormatting>
  <conditionalFormatting sqref="D82:E119">
    <cfRule type="expression" dxfId="67" priority="11">
      <formula>$D82="Non conforme"</formula>
    </cfRule>
    <cfRule type="expression" dxfId="66" priority="10">
      <formula>$D82="Conforme"</formula>
    </cfRule>
    <cfRule type="expression" dxfId="65" priority="9">
      <formula>$D82="Dérogé"</formula>
    </cfRule>
  </conditionalFormatting>
  <conditionalFormatting sqref="E15">
    <cfRule type="expression" dxfId="64" priority="14">
      <formula>$D15="Non conforme"</formula>
    </cfRule>
    <cfRule type="expression" dxfId="63" priority="13">
      <formula>$D15="Conforme"</formula>
    </cfRule>
    <cfRule type="expression" dxfId="62" priority="12">
      <formula>$D15="Non testé"</formula>
    </cfRule>
  </conditionalFormatting>
  <conditionalFormatting sqref="E53">
    <cfRule type="expression" dxfId="61" priority="15">
      <formula>$D53="Non testé"</formula>
    </cfRule>
    <cfRule type="expression" dxfId="60" priority="16">
      <formula>$D53="Dérogé"</formula>
    </cfRule>
    <cfRule type="expression" dxfId="59" priority="17">
      <formula>$D53="Conforme"</formula>
    </cfRule>
    <cfRule type="expression" dxfId="58" priority="18">
      <formula>$D53="Non conforme"</formula>
    </cfRule>
  </conditionalFormatting>
  <conditionalFormatting sqref="E55">
    <cfRule type="expression" dxfId="57" priority="19">
      <formula>$D55="Non testé"</formula>
    </cfRule>
    <cfRule type="expression" dxfId="56" priority="21">
      <formula>$D55="Conforme"</formula>
    </cfRule>
    <cfRule type="expression" dxfId="55" priority="22">
      <formula>$D55="Non conforme"</formula>
    </cfRule>
    <cfRule type="expression" dxfId="54" priority="20">
      <formula>$D55="Dérogé"</formula>
    </cfRule>
  </conditionalFormatting>
  <conditionalFormatting sqref="E80:E81">
    <cfRule type="expression" dxfId="53" priority="7">
      <formula>$D80="Non conforme"</formula>
    </cfRule>
    <cfRule type="expression" dxfId="52" priority="6">
      <formula>$D80="Conforme"</formula>
    </cfRule>
  </conditionalFormatting>
  <conditionalFormatting sqref="E77">
    <cfRule type="expression" dxfId="51" priority="1">
      <formula>$D77="Non testé"</formula>
    </cfRule>
    <cfRule type="expression" dxfId="50" priority="2">
      <formula>$D77="Dérogé"</formula>
    </cfRule>
    <cfRule type="expression" dxfId="49" priority="3">
      <formula>$D77="Conforme"</formula>
    </cfRule>
    <cfRule type="expression" dxfId="48" priority="4">
      <formula>$D77="Non conforme"</formula>
    </cfRule>
  </conditionalFormatting>
  <dataValidations count="2">
    <dataValidation allowBlank="1" showInputMessage="1" showErrorMessage="1" prompt="Format JJ/MM/AAAA" sqref="D3"/>
    <dataValidation type="list" allowBlank="1" showInputMessage="1" showErrorMessage="1" sqref="D14:D119">
      <formula1>"Conforme,Non conforme,Non applicable,Dérogé,Non testé"</formula1>
    </dataValidation>
  </dataValidations>
  <hyperlinks>
    <hyperlink ref="E125" r:id="rId1"/>
    <hyperlink ref="E127" r:id="rId2"/>
    <hyperlink ref="E126" r:id="rId3"/>
  </hyperlinks>
  <pageMargins left="0.7" right="0.7" top="0.75" bottom="0.75" header="0.3" footer="0.3"/>
  <pageSetup paperSize="9"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Views>
    <sheetView topLeftCell="C45" zoomScale="110" zoomScaleNormal="110" workbookViewId="0">
      <selection activeCell="E57" sqref="E57"/>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9" t="s">
        <v>246</v>
      </c>
      <c r="B1" s="39"/>
      <c r="C1" s="39"/>
      <c r="D1" s="39"/>
    </row>
    <row r="2" spans="1:6" ht="17.399999999999999">
      <c r="A2" s="40" t="s">
        <v>242</v>
      </c>
      <c r="B2" s="40"/>
      <c r="C2" s="40"/>
      <c r="D2" s="19" t="s">
        <v>243</v>
      </c>
      <c r="E2" s="19"/>
    </row>
    <row r="3" spans="1:6" ht="17.399999999999999">
      <c r="A3" s="41" t="s">
        <v>234</v>
      </c>
      <c r="B3" s="41"/>
      <c r="C3" s="41"/>
      <c r="D3" s="8">
        <v>45916</v>
      </c>
      <c r="E3" s="8"/>
    </row>
    <row r="4" spans="1:6" ht="17.399999999999999">
      <c r="A4" s="42" t="s">
        <v>238</v>
      </c>
      <c r="B4" s="43"/>
      <c r="C4" s="44"/>
      <c r="D4" s="13" t="s">
        <v>244</v>
      </c>
      <c r="E4" s="20"/>
    </row>
    <row r="5" spans="1:6" ht="16.05" customHeight="1">
      <c r="A5" s="41" t="s">
        <v>230</v>
      </c>
      <c r="B5" s="41"/>
      <c r="C5" s="41"/>
      <c r="D5" s="9">
        <f xml:space="preserve"> COUNTIF($D$14:$D$119,"Conforme")</f>
        <v>14</v>
      </c>
      <c r="E5" s="9"/>
    </row>
    <row r="6" spans="1:6" ht="17.399999999999999">
      <c r="A6" s="41" t="s">
        <v>231</v>
      </c>
      <c r="B6" s="41"/>
      <c r="C6" s="41"/>
      <c r="D6" s="9">
        <f xml:space="preserve"> COUNTIF($D$14:$D$119,"Non conforme")</f>
        <v>5</v>
      </c>
      <c r="E6" s="9"/>
    </row>
    <row r="7" spans="1:6" ht="17.399999999999999">
      <c r="A7" s="41" t="s">
        <v>237</v>
      </c>
      <c r="B7" s="41"/>
      <c r="C7" s="41"/>
      <c r="D7" s="9">
        <f xml:space="preserve"> COUNTIF($D$14:$D$119,"Non applicable")</f>
        <v>87</v>
      </c>
      <c r="E7" s="9"/>
    </row>
    <row r="8" spans="1:6" ht="17.399999999999999">
      <c r="A8" s="41" t="s">
        <v>232</v>
      </c>
      <c r="B8" s="41"/>
      <c r="C8" s="41"/>
      <c r="D8" s="9">
        <f xml:space="preserve"> COUNTIF($D$14:$D$119,"Dérogé")</f>
        <v>0</v>
      </c>
      <c r="E8" s="9"/>
    </row>
    <row r="9" spans="1:6" ht="17.399999999999999">
      <c r="A9" s="41" t="s">
        <v>233</v>
      </c>
      <c r="B9" s="41"/>
      <c r="C9" s="41"/>
      <c r="D9" s="9">
        <f xml:space="preserve"> COUNTIF($D$14:$D$119,"Non testé")</f>
        <v>0</v>
      </c>
      <c r="E9" s="9"/>
    </row>
    <row r="10" spans="1:6" ht="19.05" customHeight="1">
      <c r="A10" s="45" t="s">
        <v>239</v>
      </c>
      <c r="B10" s="46"/>
      <c r="C10" s="47"/>
      <c r="D10" s="14">
        <f>IF(SUM(D5:D6)&gt;0,D5/SUM(D5:D6),"")</f>
        <v>0.73684210526315785</v>
      </c>
      <c r="E10" s="21"/>
    </row>
    <row r="11" spans="1:6" ht="19.05" customHeight="1">
      <c r="A11" s="45" t="s">
        <v>240</v>
      </c>
      <c r="B11" s="46"/>
      <c r="C11" s="47"/>
      <c r="D11" s="14">
        <f>IF(SUM(D5:D6)&gt;0,1-ROUND(D10,2),"")</f>
        <v>0.26</v>
      </c>
      <c r="E11" s="21"/>
    </row>
    <row r="12" spans="1:6">
      <c r="A12" s="7"/>
      <c r="B12" s="7"/>
      <c r="C12" s="7"/>
    </row>
    <row r="13" spans="1:6" ht="17.399999999999999">
      <c r="A13" s="4" t="s">
        <v>0</v>
      </c>
      <c r="B13" s="4" t="s">
        <v>229</v>
      </c>
      <c r="C13" s="4" t="s">
        <v>1</v>
      </c>
      <c r="D13" s="4" t="s">
        <v>227</v>
      </c>
      <c r="E13" s="6" t="s">
        <v>228</v>
      </c>
      <c r="F13" s="17" t="s">
        <v>241</v>
      </c>
    </row>
    <row r="14" spans="1:6" ht="17.399999999999999">
      <c r="A14" s="38" t="s">
        <v>2</v>
      </c>
      <c r="B14" s="2" t="s">
        <v>3</v>
      </c>
      <c r="C14" s="3" t="s">
        <v>4</v>
      </c>
      <c r="D14" s="5" t="s">
        <v>252</v>
      </c>
      <c r="E14" s="11"/>
      <c r="F14" s="18"/>
    </row>
    <row r="15" spans="1:6" ht="30">
      <c r="A15" s="30"/>
      <c r="B15" s="2" t="s">
        <v>5</v>
      </c>
      <c r="C15" s="3" t="s">
        <v>6</v>
      </c>
      <c r="D15" s="5" t="s">
        <v>252</v>
      </c>
      <c r="E15" s="12"/>
      <c r="F15" s="18"/>
    </row>
    <row r="16" spans="1:6" ht="30">
      <c r="A16" s="30"/>
      <c r="B16" s="2" t="s">
        <v>7</v>
      </c>
      <c r="C16" s="3" t="s">
        <v>8</v>
      </c>
      <c r="D16" s="5" t="s">
        <v>252</v>
      </c>
      <c r="E16" s="11"/>
      <c r="F16" s="18"/>
    </row>
    <row r="17" spans="1:6" ht="45">
      <c r="A17" s="30"/>
      <c r="B17" s="2" t="s">
        <v>9</v>
      </c>
      <c r="C17" s="3" t="s">
        <v>10</v>
      </c>
      <c r="D17" s="5" t="s">
        <v>252</v>
      </c>
      <c r="E17" s="11"/>
      <c r="F17" s="18"/>
    </row>
    <row r="18" spans="1:6" ht="30">
      <c r="A18" s="30"/>
      <c r="B18" s="2" t="s">
        <v>11</v>
      </c>
      <c r="C18" s="3" t="s">
        <v>12</v>
      </c>
      <c r="D18" s="5" t="s">
        <v>252</v>
      </c>
      <c r="E18" s="11"/>
      <c r="F18" s="18"/>
    </row>
    <row r="19" spans="1:6" ht="30">
      <c r="A19" s="30"/>
      <c r="B19" s="2" t="s">
        <v>13</v>
      </c>
      <c r="C19" s="3" t="s">
        <v>14</v>
      </c>
      <c r="D19" s="5" t="s">
        <v>252</v>
      </c>
      <c r="E19" s="11"/>
      <c r="F19" s="18"/>
    </row>
    <row r="20" spans="1:6" ht="30">
      <c r="A20" s="30"/>
      <c r="B20" s="2" t="s">
        <v>15</v>
      </c>
      <c r="C20" s="3" t="s">
        <v>16</v>
      </c>
      <c r="D20" s="5" t="s">
        <v>252</v>
      </c>
      <c r="E20" s="11"/>
      <c r="F20" s="18"/>
    </row>
    <row r="21" spans="1:6" ht="45">
      <c r="A21" s="30"/>
      <c r="B21" s="2" t="s">
        <v>17</v>
      </c>
      <c r="C21" s="3" t="s">
        <v>18</v>
      </c>
      <c r="D21" s="5" t="s">
        <v>252</v>
      </c>
      <c r="E21" s="11"/>
      <c r="F21" s="18"/>
    </row>
    <row r="22" spans="1:6" ht="30">
      <c r="A22" s="31"/>
      <c r="B22" s="2" t="s">
        <v>19</v>
      </c>
      <c r="C22" s="3" t="s">
        <v>20</v>
      </c>
      <c r="D22" s="5" t="s">
        <v>252</v>
      </c>
      <c r="E22" s="11"/>
      <c r="F22" s="18"/>
    </row>
    <row r="23" spans="1:6" ht="17.399999999999999">
      <c r="A23" s="29" t="s">
        <v>21</v>
      </c>
      <c r="B23" s="2" t="s">
        <v>22</v>
      </c>
      <c r="C23" s="3" t="s">
        <v>23</v>
      </c>
      <c r="D23" s="5" t="s">
        <v>252</v>
      </c>
      <c r="E23" s="11"/>
      <c r="F23" s="18"/>
    </row>
    <row r="24" spans="1:6" ht="30">
      <c r="A24" s="31"/>
      <c r="B24" s="2" t="s">
        <v>24</v>
      </c>
      <c r="C24" s="3" t="s">
        <v>25</v>
      </c>
      <c r="D24" s="5" t="s">
        <v>252</v>
      </c>
      <c r="E24" s="11"/>
      <c r="F24" s="18"/>
    </row>
    <row r="25" spans="1:6" ht="30">
      <c r="A25" s="29" t="s">
        <v>26</v>
      </c>
      <c r="B25" s="2" t="s">
        <v>27</v>
      </c>
      <c r="C25" s="3" t="s">
        <v>28</v>
      </c>
      <c r="D25" s="5" t="s">
        <v>252</v>
      </c>
      <c r="E25" s="11"/>
      <c r="F25" s="18"/>
    </row>
    <row r="26" spans="1:6" ht="135">
      <c r="A26" s="30"/>
      <c r="B26" s="2" t="s">
        <v>29</v>
      </c>
      <c r="C26" s="3" t="s">
        <v>30</v>
      </c>
      <c r="D26" s="5" t="s">
        <v>248</v>
      </c>
      <c r="E26" s="11" t="s">
        <v>258</v>
      </c>
      <c r="F26" s="18"/>
    </row>
    <row r="27" spans="1:6" ht="105">
      <c r="A27" s="31"/>
      <c r="B27" s="2" t="s">
        <v>31</v>
      </c>
      <c r="C27" s="3" t="s">
        <v>32</v>
      </c>
      <c r="D27" s="5" t="s">
        <v>248</v>
      </c>
      <c r="E27" s="11" t="s">
        <v>287</v>
      </c>
      <c r="F27" s="18"/>
    </row>
    <row r="28" spans="1:6" ht="30">
      <c r="A28" s="29" t="s">
        <v>33</v>
      </c>
      <c r="B28" s="2" t="s">
        <v>34</v>
      </c>
      <c r="C28" s="3" t="s">
        <v>35</v>
      </c>
      <c r="D28" s="5" t="s">
        <v>252</v>
      </c>
      <c r="E28" s="11"/>
      <c r="F28" s="18"/>
    </row>
    <row r="29" spans="1:6" ht="45">
      <c r="A29" s="30"/>
      <c r="B29" s="2" t="s">
        <v>36</v>
      </c>
      <c r="C29" s="3" t="s">
        <v>37</v>
      </c>
      <c r="D29" s="5" t="s">
        <v>252</v>
      </c>
      <c r="E29" s="11"/>
      <c r="F29" s="18"/>
    </row>
    <row r="30" spans="1:6" ht="30">
      <c r="A30" s="30"/>
      <c r="B30" s="2" t="s">
        <v>38</v>
      </c>
      <c r="C30" s="3" t="s">
        <v>39</v>
      </c>
      <c r="D30" s="5" t="s">
        <v>252</v>
      </c>
      <c r="E30" s="11"/>
      <c r="F30" s="18"/>
    </row>
    <row r="31" spans="1:6" ht="30">
      <c r="A31" s="30"/>
      <c r="B31" s="2" t="s">
        <v>40</v>
      </c>
      <c r="C31" s="3" t="s">
        <v>41</v>
      </c>
      <c r="D31" s="5" t="s">
        <v>252</v>
      </c>
      <c r="E31" s="11"/>
      <c r="F31" s="18"/>
    </row>
    <row r="32" spans="1:6" ht="30">
      <c r="A32" s="30"/>
      <c r="B32" s="2" t="s">
        <v>42</v>
      </c>
      <c r="C32" s="3" t="s">
        <v>43</v>
      </c>
      <c r="D32" s="5" t="s">
        <v>252</v>
      </c>
      <c r="E32" s="11"/>
      <c r="F32" s="18"/>
    </row>
    <row r="33" spans="1:6" ht="30">
      <c r="A33" s="30"/>
      <c r="B33" s="2" t="s">
        <v>44</v>
      </c>
      <c r="C33" s="3" t="s">
        <v>45</v>
      </c>
      <c r="D33" s="5" t="s">
        <v>252</v>
      </c>
      <c r="E33" s="11"/>
      <c r="F33" s="18"/>
    </row>
    <row r="34" spans="1:6" ht="30">
      <c r="A34" s="30"/>
      <c r="B34" s="2" t="s">
        <v>46</v>
      </c>
      <c r="C34" s="3" t="s">
        <v>47</v>
      </c>
      <c r="D34" s="5" t="s">
        <v>252</v>
      </c>
      <c r="E34" s="11"/>
      <c r="F34" s="18"/>
    </row>
    <row r="35" spans="1:6" ht="30">
      <c r="A35" s="30"/>
      <c r="B35" s="2" t="s">
        <v>48</v>
      </c>
      <c r="C35" s="3" t="s">
        <v>49</v>
      </c>
      <c r="D35" s="5" t="s">
        <v>252</v>
      </c>
      <c r="E35" s="11"/>
      <c r="F35" s="18"/>
    </row>
    <row r="36" spans="1:6" ht="30">
      <c r="A36" s="30"/>
      <c r="B36" s="2" t="s">
        <v>50</v>
      </c>
      <c r="C36" s="3" t="s">
        <v>51</v>
      </c>
      <c r="D36" s="5" t="s">
        <v>252</v>
      </c>
      <c r="E36" s="11"/>
      <c r="F36" s="18"/>
    </row>
    <row r="37" spans="1:6" ht="30">
      <c r="A37" s="30"/>
      <c r="B37" s="2" t="s">
        <v>52</v>
      </c>
      <c r="C37" s="3" t="s">
        <v>53</v>
      </c>
      <c r="D37" s="5" t="s">
        <v>252</v>
      </c>
      <c r="E37" s="11"/>
      <c r="F37" s="18"/>
    </row>
    <row r="38" spans="1:6" ht="30">
      <c r="A38" s="30"/>
      <c r="B38" s="2" t="s">
        <v>54</v>
      </c>
      <c r="C38" s="3" t="s">
        <v>55</v>
      </c>
      <c r="D38" s="5" t="s">
        <v>252</v>
      </c>
      <c r="E38" s="11"/>
      <c r="F38" s="18"/>
    </row>
    <row r="39" spans="1:6" ht="30">
      <c r="A39" s="30"/>
      <c r="B39" s="2" t="s">
        <v>56</v>
      </c>
      <c r="C39" s="3" t="s">
        <v>57</v>
      </c>
      <c r="D39" s="5" t="s">
        <v>252</v>
      </c>
      <c r="E39" s="11"/>
      <c r="F39" s="18"/>
    </row>
    <row r="40" spans="1:6" ht="30">
      <c r="A40" s="31"/>
      <c r="B40" s="2" t="s">
        <v>58</v>
      </c>
      <c r="C40" s="3" t="s">
        <v>59</v>
      </c>
      <c r="D40" s="5" t="s">
        <v>252</v>
      </c>
      <c r="E40" s="11"/>
      <c r="F40" s="18"/>
    </row>
    <row r="41" spans="1:6" ht="17.399999999999999">
      <c r="A41" s="29" t="s">
        <v>60</v>
      </c>
      <c r="B41" s="2" t="s">
        <v>61</v>
      </c>
      <c r="C41" s="3" t="s">
        <v>62</v>
      </c>
      <c r="D41" s="5" t="s">
        <v>252</v>
      </c>
      <c r="E41" s="11"/>
      <c r="F41" s="18"/>
    </row>
    <row r="42" spans="1:6" ht="30">
      <c r="A42" s="30"/>
      <c r="B42" s="2" t="s">
        <v>63</v>
      </c>
      <c r="C42" s="3" t="s">
        <v>64</v>
      </c>
      <c r="D42" s="5" t="s">
        <v>252</v>
      </c>
      <c r="E42" s="11"/>
      <c r="F42" s="18"/>
    </row>
    <row r="43" spans="1:6" ht="30">
      <c r="A43" s="30"/>
      <c r="B43" s="2" t="s">
        <v>65</v>
      </c>
      <c r="C43" s="3" t="s">
        <v>66</v>
      </c>
      <c r="D43" s="5" t="s">
        <v>252</v>
      </c>
      <c r="E43" s="11"/>
      <c r="F43" s="18"/>
    </row>
    <row r="44" spans="1:6" ht="30">
      <c r="A44" s="30"/>
      <c r="B44" s="2" t="s">
        <v>67</v>
      </c>
      <c r="C44" s="3" t="s">
        <v>68</v>
      </c>
      <c r="D44" s="5" t="s">
        <v>252</v>
      </c>
      <c r="E44" s="11"/>
      <c r="F44" s="18"/>
    </row>
    <row r="45" spans="1:6" ht="17.399999999999999">
      <c r="A45" s="30"/>
      <c r="B45" s="2" t="s">
        <v>69</v>
      </c>
      <c r="C45" s="3" t="s">
        <v>70</v>
      </c>
      <c r="D45" s="5" t="s">
        <v>252</v>
      </c>
      <c r="E45" s="11"/>
      <c r="F45" s="18"/>
    </row>
    <row r="46" spans="1:6" ht="30">
      <c r="A46" s="30"/>
      <c r="B46" s="2" t="s">
        <v>71</v>
      </c>
      <c r="C46" s="3" t="s">
        <v>72</v>
      </c>
      <c r="D46" s="5" t="s">
        <v>252</v>
      </c>
      <c r="E46" s="11"/>
      <c r="F46" s="18"/>
    </row>
    <row r="47" spans="1:6" ht="45">
      <c r="A47" s="30"/>
      <c r="B47" s="2" t="s">
        <v>73</v>
      </c>
      <c r="C47" s="3" t="s">
        <v>74</v>
      </c>
      <c r="D47" s="5" t="s">
        <v>252</v>
      </c>
      <c r="E47" s="11"/>
      <c r="F47" s="18"/>
    </row>
    <row r="48" spans="1:6" ht="30">
      <c r="A48" s="31"/>
      <c r="B48" s="2" t="s">
        <v>75</v>
      </c>
      <c r="C48" s="3" t="s">
        <v>76</v>
      </c>
      <c r="D48" s="5" t="s">
        <v>252</v>
      </c>
      <c r="E48" s="11"/>
      <c r="F48" s="18"/>
    </row>
    <row r="49" spans="1:6" ht="17.399999999999999">
      <c r="A49" s="29" t="s">
        <v>77</v>
      </c>
      <c r="B49" s="2" t="s">
        <v>78</v>
      </c>
      <c r="C49" s="3" t="s">
        <v>79</v>
      </c>
      <c r="D49" s="5" t="s">
        <v>252</v>
      </c>
      <c r="E49" s="11"/>
      <c r="F49" s="18"/>
    </row>
    <row r="50" spans="1:6" ht="17.399999999999999">
      <c r="A50" s="31"/>
      <c r="B50" s="2" t="s">
        <v>80</v>
      </c>
      <c r="C50" s="3" t="s">
        <v>81</v>
      </c>
      <c r="D50" s="5" t="s">
        <v>252</v>
      </c>
      <c r="E50" s="11"/>
      <c r="F50" s="18"/>
    </row>
    <row r="51" spans="1:6" ht="106.2">
      <c r="A51" s="29" t="s">
        <v>82</v>
      </c>
      <c r="B51" s="2" t="s">
        <v>83</v>
      </c>
      <c r="C51" s="3" t="s">
        <v>84</v>
      </c>
      <c r="D51" s="5" t="s">
        <v>249</v>
      </c>
      <c r="E51" s="11" t="s">
        <v>297</v>
      </c>
      <c r="F51" s="18"/>
    </row>
    <row r="52" spans="1:6" ht="30">
      <c r="A52" s="30"/>
      <c r="B52" s="2" t="s">
        <v>85</v>
      </c>
      <c r="C52" s="3" t="s">
        <v>86</v>
      </c>
      <c r="D52" s="5" t="s">
        <v>252</v>
      </c>
      <c r="E52" s="11"/>
      <c r="F52" s="18"/>
    </row>
    <row r="53" spans="1:6" ht="75">
      <c r="A53" s="30"/>
      <c r="B53" s="2" t="s">
        <v>87</v>
      </c>
      <c r="C53" s="3" t="s">
        <v>88</v>
      </c>
      <c r="D53" s="5" t="s">
        <v>249</v>
      </c>
      <c r="E53" s="11" t="s">
        <v>257</v>
      </c>
      <c r="F53" s="18"/>
    </row>
    <row r="54" spans="1:6" ht="30">
      <c r="A54" s="30"/>
      <c r="B54" s="2" t="s">
        <v>89</v>
      </c>
      <c r="C54" s="3" t="s">
        <v>90</v>
      </c>
      <c r="D54" s="5" t="s">
        <v>252</v>
      </c>
      <c r="E54" s="11"/>
      <c r="F54" s="18"/>
    </row>
    <row r="55" spans="1:6" ht="30">
      <c r="A55" s="31"/>
      <c r="B55" s="2" t="s">
        <v>91</v>
      </c>
      <c r="C55" s="3" t="s">
        <v>92</v>
      </c>
      <c r="D55" s="5" t="s">
        <v>249</v>
      </c>
      <c r="E55" s="11" t="s">
        <v>253</v>
      </c>
      <c r="F55" s="18"/>
    </row>
    <row r="56" spans="1:6" ht="17.399999999999999">
      <c r="A56" s="29" t="s">
        <v>93</v>
      </c>
      <c r="B56" s="2" t="s">
        <v>94</v>
      </c>
      <c r="C56" s="3" t="s">
        <v>95</v>
      </c>
      <c r="D56" s="5" t="s">
        <v>252</v>
      </c>
      <c r="E56" s="11"/>
      <c r="F56" s="18"/>
    </row>
    <row r="57" spans="1:6" ht="90">
      <c r="A57" s="30"/>
      <c r="B57" s="2" t="s">
        <v>96</v>
      </c>
      <c r="C57" s="3" t="s">
        <v>97</v>
      </c>
      <c r="D57" s="5" t="s">
        <v>249</v>
      </c>
      <c r="E57" s="11" t="s">
        <v>281</v>
      </c>
      <c r="F57" s="18"/>
    </row>
    <row r="58" spans="1:6" ht="17.399999999999999">
      <c r="A58" s="30"/>
      <c r="B58" s="2" t="s">
        <v>98</v>
      </c>
      <c r="C58" s="3" t="s">
        <v>99</v>
      </c>
      <c r="D58" s="5" t="s">
        <v>252</v>
      </c>
      <c r="E58" s="11"/>
      <c r="F58" s="18"/>
    </row>
    <row r="59" spans="1:6" ht="30">
      <c r="A59" s="30"/>
      <c r="B59" s="2" t="s">
        <v>100</v>
      </c>
      <c r="C59" s="3" t="s">
        <v>101</v>
      </c>
      <c r="D59" s="5" t="s">
        <v>252</v>
      </c>
      <c r="E59" s="11"/>
      <c r="F59" s="18"/>
    </row>
    <row r="60" spans="1:6" ht="17.399999999999999">
      <c r="A60" s="30"/>
      <c r="B60" s="2" t="s">
        <v>102</v>
      </c>
      <c r="C60" s="3" t="s">
        <v>103</v>
      </c>
      <c r="D60" s="5" t="s">
        <v>252</v>
      </c>
      <c r="E60" s="11"/>
      <c r="F60" s="18"/>
    </row>
    <row r="61" spans="1:6" ht="17.399999999999999">
      <c r="A61" s="30"/>
      <c r="B61" s="2" t="s">
        <v>104</v>
      </c>
      <c r="C61" s="3" t="s">
        <v>105</v>
      </c>
      <c r="D61" s="5" t="s">
        <v>252</v>
      </c>
      <c r="E61" s="11"/>
      <c r="F61" s="18"/>
    </row>
    <row r="62" spans="1:6" ht="30">
      <c r="A62" s="30"/>
      <c r="B62" s="2" t="s">
        <v>106</v>
      </c>
      <c r="C62" s="3" t="s">
        <v>107</v>
      </c>
      <c r="D62" s="5" t="s">
        <v>252</v>
      </c>
      <c r="E62" s="11"/>
      <c r="F62" s="18"/>
    </row>
    <row r="63" spans="1:6" ht="30">
      <c r="A63" s="30"/>
      <c r="B63" s="2" t="s">
        <v>108</v>
      </c>
      <c r="C63" s="3" t="s">
        <v>109</v>
      </c>
      <c r="D63" s="5" t="s">
        <v>252</v>
      </c>
      <c r="E63" s="11"/>
      <c r="F63" s="18"/>
    </row>
    <row r="64" spans="1:6" ht="30">
      <c r="A64" s="30"/>
      <c r="B64" s="2" t="s">
        <v>110</v>
      </c>
      <c r="C64" s="3" t="s">
        <v>111</v>
      </c>
      <c r="D64" s="5" t="s">
        <v>252</v>
      </c>
      <c r="E64" s="11"/>
      <c r="F64" s="18"/>
    </row>
    <row r="65" spans="1:6" ht="30">
      <c r="A65" s="31"/>
      <c r="B65" s="2" t="s">
        <v>112</v>
      </c>
      <c r="C65" s="3" t="s">
        <v>113</v>
      </c>
      <c r="D65" s="5" t="s">
        <v>252</v>
      </c>
      <c r="E65" s="11"/>
      <c r="F65" s="18"/>
    </row>
    <row r="66" spans="1:6" ht="30">
      <c r="A66" s="29" t="s">
        <v>114</v>
      </c>
      <c r="B66" s="2" t="s">
        <v>115</v>
      </c>
      <c r="C66" s="3" t="s">
        <v>116</v>
      </c>
      <c r="D66" s="5" t="s">
        <v>252</v>
      </c>
      <c r="E66" s="11"/>
      <c r="F66" s="18"/>
    </row>
    <row r="67" spans="1:6" ht="30">
      <c r="A67" s="30"/>
      <c r="B67" s="2" t="s">
        <v>117</v>
      </c>
      <c r="C67" s="3" t="s">
        <v>118</v>
      </c>
      <c r="D67" s="5" t="s">
        <v>252</v>
      </c>
      <c r="E67" s="11"/>
      <c r="F67" s="18"/>
    </row>
    <row r="68" spans="1:6" ht="17.399999999999999">
      <c r="A68" s="30"/>
      <c r="B68" s="2" t="s">
        <v>119</v>
      </c>
      <c r="C68" s="3" t="s">
        <v>120</v>
      </c>
      <c r="D68" s="5" t="s">
        <v>252</v>
      </c>
      <c r="E68" s="11"/>
      <c r="F68" s="18"/>
    </row>
    <row r="69" spans="1:6" ht="30">
      <c r="A69" s="31"/>
      <c r="B69" s="2" t="s">
        <v>121</v>
      </c>
      <c r="C69" s="3" t="s">
        <v>122</v>
      </c>
      <c r="D69" s="5" t="s">
        <v>252</v>
      </c>
      <c r="E69" s="11"/>
      <c r="F69" s="18"/>
    </row>
    <row r="70" spans="1:6" ht="45">
      <c r="A70" s="29" t="s">
        <v>123</v>
      </c>
      <c r="B70" s="2" t="s">
        <v>124</v>
      </c>
      <c r="C70" s="3" t="s">
        <v>125</v>
      </c>
      <c r="D70" s="5" t="s">
        <v>248</v>
      </c>
      <c r="E70" s="11" t="s">
        <v>283</v>
      </c>
      <c r="F70" s="18"/>
    </row>
    <row r="71" spans="1:6" ht="30">
      <c r="A71" s="30"/>
      <c r="B71" s="2" t="s">
        <v>126</v>
      </c>
      <c r="C71" s="3" t="s">
        <v>127</v>
      </c>
      <c r="D71" s="5" t="s">
        <v>248</v>
      </c>
      <c r="E71" s="11" t="s">
        <v>284</v>
      </c>
      <c r="F71" s="18"/>
    </row>
    <row r="72" spans="1:6" ht="30">
      <c r="A72" s="30"/>
      <c r="B72" s="2" t="s">
        <v>128</v>
      </c>
      <c r="C72" s="3" t="s">
        <v>129</v>
      </c>
      <c r="D72" s="5" t="s">
        <v>248</v>
      </c>
      <c r="E72" s="11" t="s">
        <v>285</v>
      </c>
      <c r="F72" s="18"/>
    </row>
    <row r="73" spans="1:6" ht="45">
      <c r="A73" s="30"/>
      <c r="B73" s="2" t="s">
        <v>130</v>
      </c>
      <c r="C73" s="3" t="s">
        <v>131</v>
      </c>
      <c r="D73" s="5" t="s">
        <v>248</v>
      </c>
      <c r="E73" s="11" t="s">
        <v>286</v>
      </c>
      <c r="F73" s="18"/>
    </row>
    <row r="74" spans="1:6" ht="30">
      <c r="A74" s="30"/>
      <c r="B74" s="2" t="s">
        <v>132</v>
      </c>
      <c r="C74" s="3" t="s">
        <v>133</v>
      </c>
      <c r="D74" s="5" t="s">
        <v>252</v>
      </c>
      <c r="E74" s="11"/>
      <c r="F74" s="18"/>
    </row>
    <row r="75" spans="1:6" ht="30">
      <c r="A75" s="30"/>
      <c r="B75" s="2" t="s">
        <v>134</v>
      </c>
      <c r="C75" s="3" t="s">
        <v>135</v>
      </c>
      <c r="D75" s="5" t="s">
        <v>252</v>
      </c>
      <c r="E75" s="11"/>
      <c r="F75" s="18"/>
    </row>
    <row r="76" spans="1:6" ht="30">
      <c r="A76" s="30"/>
      <c r="B76" s="2" t="s">
        <v>136</v>
      </c>
      <c r="C76" s="3" t="s">
        <v>137</v>
      </c>
      <c r="D76" s="5" t="s">
        <v>248</v>
      </c>
      <c r="E76" s="11" t="s">
        <v>289</v>
      </c>
      <c r="F76" s="18"/>
    </row>
    <row r="77" spans="1:6" ht="30">
      <c r="A77" s="30"/>
      <c r="B77" s="2" t="s">
        <v>138</v>
      </c>
      <c r="C77" s="3" t="s">
        <v>139</v>
      </c>
      <c r="D77" s="5" t="s">
        <v>249</v>
      </c>
      <c r="E77" s="11" t="s">
        <v>293</v>
      </c>
      <c r="F77" s="18"/>
    </row>
    <row r="78" spans="1:6" ht="45">
      <c r="A78" s="30"/>
      <c r="B78" s="2" t="s">
        <v>140</v>
      </c>
      <c r="C78" s="3" t="s">
        <v>141</v>
      </c>
      <c r="D78" s="5" t="s">
        <v>252</v>
      </c>
      <c r="E78" s="11"/>
      <c r="F78" s="18"/>
    </row>
    <row r="79" spans="1:6" ht="45">
      <c r="A79" s="30"/>
      <c r="B79" s="2" t="s">
        <v>142</v>
      </c>
      <c r="C79" s="3" t="s">
        <v>143</v>
      </c>
      <c r="D79" s="5" t="s">
        <v>252</v>
      </c>
      <c r="E79" s="11"/>
      <c r="F79" s="18"/>
    </row>
    <row r="80" spans="1:6" ht="75">
      <c r="A80" s="30"/>
      <c r="B80" s="2" t="s">
        <v>144</v>
      </c>
      <c r="C80" s="3" t="s">
        <v>145</v>
      </c>
      <c r="D80" s="5" t="s">
        <v>248</v>
      </c>
      <c r="E80" s="11" t="s">
        <v>280</v>
      </c>
      <c r="F80" s="18"/>
    </row>
    <row r="81" spans="1:6" ht="105">
      <c r="A81" s="30"/>
      <c r="B81" s="2" t="s">
        <v>146</v>
      </c>
      <c r="C81" s="3" t="s">
        <v>147</v>
      </c>
      <c r="D81" s="5" t="s">
        <v>248</v>
      </c>
      <c r="E81" s="11" t="s">
        <v>278</v>
      </c>
      <c r="F81" s="18"/>
    </row>
    <row r="82" spans="1:6" ht="45">
      <c r="A82" s="30"/>
      <c r="B82" s="2" t="s">
        <v>148</v>
      </c>
      <c r="C82" s="3" t="s">
        <v>149</v>
      </c>
      <c r="D82" s="5" t="s">
        <v>252</v>
      </c>
      <c r="E82" s="11"/>
      <c r="F82" s="18"/>
    </row>
    <row r="83" spans="1:6" ht="45">
      <c r="A83" s="31"/>
      <c r="B83" s="2" t="s">
        <v>150</v>
      </c>
      <c r="C83" s="3" t="s">
        <v>151</v>
      </c>
      <c r="D83" s="5" t="s">
        <v>252</v>
      </c>
      <c r="E83" s="11"/>
      <c r="F83" s="18"/>
    </row>
    <row r="84" spans="1:6" ht="17.399999999999999">
      <c r="A84" s="29" t="s">
        <v>152</v>
      </c>
      <c r="B84" s="2" t="s">
        <v>153</v>
      </c>
      <c r="C84" s="3" t="s">
        <v>154</v>
      </c>
      <c r="D84" s="5" t="s">
        <v>252</v>
      </c>
      <c r="E84" s="11" t="s">
        <v>277</v>
      </c>
      <c r="F84" s="18"/>
    </row>
    <row r="85" spans="1:6" ht="30">
      <c r="A85" s="30"/>
      <c r="B85" s="2" t="s">
        <v>155</v>
      </c>
      <c r="C85" s="3" t="s">
        <v>156</v>
      </c>
      <c r="D85" s="5" t="s">
        <v>252</v>
      </c>
      <c r="E85" s="11" t="s">
        <v>277</v>
      </c>
      <c r="F85" s="18"/>
    </row>
    <row r="86" spans="1:6" ht="45">
      <c r="A86" s="30"/>
      <c r="B86" s="2" t="s">
        <v>157</v>
      </c>
      <c r="C86" s="3" t="s">
        <v>158</v>
      </c>
      <c r="D86" s="5" t="s">
        <v>252</v>
      </c>
      <c r="E86" s="11"/>
      <c r="F86" s="18"/>
    </row>
    <row r="87" spans="1:6" ht="30">
      <c r="A87" s="30"/>
      <c r="B87" s="2" t="s">
        <v>159</v>
      </c>
      <c r="C87" s="3" t="s">
        <v>160</v>
      </c>
      <c r="D87" s="5" t="s">
        <v>252</v>
      </c>
      <c r="E87" s="11" t="s">
        <v>277</v>
      </c>
      <c r="F87" s="18"/>
    </row>
    <row r="88" spans="1:6" ht="30">
      <c r="A88" s="30"/>
      <c r="B88" s="2" t="s">
        <v>161</v>
      </c>
      <c r="C88" s="3" t="s">
        <v>162</v>
      </c>
      <c r="D88" s="5" t="s">
        <v>248</v>
      </c>
      <c r="E88" s="11" t="s">
        <v>274</v>
      </c>
      <c r="F88" s="18"/>
    </row>
    <row r="89" spans="1:6" ht="30">
      <c r="A89" s="30"/>
      <c r="B89" s="2" t="s">
        <v>163</v>
      </c>
      <c r="C89" s="3" t="s">
        <v>164</v>
      </c>
      <c r="D89" s="5" t="s">
        <v>248</v>
      </c>
      <c r="E89" s="11" t="s">
        <v>275</v>
      </c>
      <c r="F89" s="18"/>
    </row>
    <row r="90" spans="1:6" ht="30">
      <c r="A90" s="30"/>
      <c r="B90" s="2" t="s">
        <v>165</v>
      </c>
      <c r="C90" s="3" t="s">
        <v>166</v>
      </c>
      <c r="D90" s="5" t="s">
        <v>248</v>
      </c>
      <c r="E90" s="11" t="s">
        <v>276</v>
      </c>
      <c r="F90" s="18"/>
    </row>
    <row r="91" spans="1:6" ht="30">
      <c r="A91" s="30"/>
      <c r="B91" s="2" t="s">
        <v>167</v>
      </c>
      <c r="C91" s="3" t="s">
        <v>168</v>
      </c>
      <c r="D91" s="5" t="s">
        <v>252</v>
      </c>
      <c r="E91" s="11"/>
      <c r="F91" s="18"/>
    </row>
    <row r="92" spans="1:6" ht="30">
      <c r="A92" s="30"/>
      <c r="B92" s="2" t="s">
        <v>169</v>
      </c>
      <c r="C92" s="3" t="s">
        <v>170</v>
      </c>
      <c r="D92" s="5" t="s">
        <v>252</v>
      </c>
      <c r="E92" s="11"/>
      <c r="F92" s="18"/>
    </row>
    <row r="93" spans="1:6" ht="30">
      <c r="A93" s="30"/>
      <c r="B93" s="2" t="s">
        <v>171</v>
      </c>
      <c r="C93" s="3" t="s">
        <v>172</v>
      </c>
      <c r="D93" s="5" t="s">
        <v>252</v>
      </c>
      <c r="E93" s="11"/>
      <c r="F93" s="18"/>
    </row>
    <row r="94" spans="1:6" ht="45">
      <c r="A94" s="30"/>
      <c r="B94" s="2" t="s">
        <v>173</v>
      </c>
      <c r="C94" s="3" t="s">
        <v>174</v>
      </c>
      <c r="D94" s="5" t="s">
        <v>252</v>
      </c>
      <c r="E94" s="11"/>
      <c r="F94" s="18"/>
    </row>
    <row r="95" spans="1:6" ht="60">
      <c r="A95" s="30"/>
      <c r="B95" s="2" t="s">
        <v>175</v>
      </c>
      <c r="C95" s="3" t="s">
        <v>176</v>
      </c>
      <c r="D95" s="5" t="s">
        <v>252</v>
      </c>
      <c r="E95" s="11"/>
      <c r="F95" s="18"/>
    </row>
    <row r="96" spans="1:6" ht="30">
      <c r="A96" s="31"/>
      <c r="B96" s="2" t="s">
        <v>177</v>
      </c>
      <c r="C96" s="3" t="s">
        <v>178</v>
      </c>
      <c r="D96" s="5" t="s">
        <v>252</v>
      </c>
      <c r="E96" s="11"/>
      <c r="F96" s="18"/>
    </row>
    <row r="97" spans="1:6" ht="30">
      <c r="A97" s="29" t="s">
        <v>179</v>
      </c>
      <c r="B97" s="2" t="s">
        <v>180</v>
      </c>
      <c r="C97" s="3" t="s">
        <v>181</v>
      </c>
      <c r="D97" s="5" t="s">
        <v>252</v>
      </c>
      <c r="E97" s="11"/>
      <c r="F97" s="18"/>
    </row>
    <row r="98" spans="1:6" ht="30">
      <c r="A98" s="30"/>
      <c r="B98" s="2" t="s">
        <v>182</v>
      </c>
      <c r="C98" s="3" t="s">
        <v>183</v>
      </c>
      <c r="D98" s="5" t="s">
        <v>252</v>
      </c>
      <c r="E98" s="11"/>
      <c r="F98" s="18"/>
    </row>
    <row r="99" spans="1:6" ht="17.399999999999999">
      <c r="A99" s="30"/>
      <c r="B99" s="2" t="s">
        <v>184</v>
      </c>
      <c r="C99" s="3" t="s">
        <v>185</v>
      </c>
      <c r="D99" s="5" t="s">
        <v>252</v>
      </c>
      <c r="E99" s="11"/>
      <c r="F99" s="18"/>
    </row>
    <row r="100" spans="1:6" ht="30">
      <c r="A100" s="30"/>
      <c r="B100" s="2" t="s">
        <v>186</v>
      </c>
      <c r="C100" s="3" t="s">
        <v>187</v>
      </c>
      <c r="D100" s="5" t="s">
        <v>252</v>
      </c>
      <c r="E100" s="11"/>
      <c r="F100" s="18"/>
    </row>
    <row r="101" spans="1:6" ht="30">
      <c r="A101" s="30"/>
      <c r="B101" s="2" t="s">
        <v>188</v>
      </c>
      <c r="C101" s="3" t="s">
        <v>189</v>
      </c>
      <c r="D101" s="5" t="s">
        <v>252</v>
      </c>
      <c r="E101" s="11"/>
      <c r="F101" s="18"/>
    </row>
    <row r="102" spans="1:6" ht="60">
      <c r="A102" s="30"/>
      <c r="B102" s="2" t="s">
        <v>190</v>
      </c>
      <c r="C102" s="3" t="s">
        <v>191</v>
      </c>
      <c r="D102" s="5" t="s">
        <v>252</v>
      </c>
      <c r="E102" s="11"/>
      <c r="F102" s="18"/>
    </row>
    <row r="103" spans="1:6" ht="30">
      <c r="A103" s="30"/>
      <c r="B103" s="2" t="s">
        <v>192</v>
      </c>
      <c r="C103" s="3" t="s">
        <v>193</v>
      </c>
      <c r="D103" s="5" t="s">
        <v>252</v>
      </c>
      <c r="E103" s="11"/>
      <c r="F103" s="18"/>
    </row>
    <row r="104" spans="1:6" ht="17.399999999999999">
      <c r="A104" s="30"/>
      <c r="B104" s="2" t="s">
        <v>194</v>
      </c>
      <c r="C104" s="3" t="s">
        <v>195</v>
      </c>
      <c r="D104" s="5" t="s">
        <v>248</v>
      </c>
      <c r="E104" s="11" t="s">
        <v>291</v>
      </c>
      <c r="F104" s="18"/>
    </row>
    <row r="105" spans="1:6" ht="30">
      <c r="A105" s="30"/>
      <c r="B105" s="2" t="s">
        <v>196</v>
      </c>
      <c r="C105" s="3" t="s">
        <v>197</v>
      </c>
      <c r="D105" s="5" t="s">
        <v>248</v>
      </c>
      <c r="E105" s="11" t="s">
        <v>290</v>
      </c>
      <c r="F105" s="18"/>
    </row>
    <row r="106" spans="1:6" ht="45">
      <c r="A106" s="30"/>
      <c r="B106" s="2" t="s">
        <v>198</v>
      </c>
      <c r="C106" s="3" t="s">
        <v>199</v>
      </c>
      <c r="D106" s="5" t="s">
        <v>252</v>
      </c>
      <c r="E106" s="11"/>
      <c r="F106" s="18"/>
    </row>
    <row r="107" spans="1:6" ht="45">
      <c r="A107" s="31"/>
      <c r="B107" s="2" t="s">
        <v>200</v>
      </c>
      <c r="C107" s="3" t="s">
        <v>201</v>
      </c>
      <c r="D107" s="5" t="s">
        <v>252</v>
      </c>
      <c r="E107" s="11"/>
      <c r="F107" s="18"/>
    </row>
    <row r="108" spans="1:6" ht="30">
      <c r="A108" s="29" t="s">
        <v>202</v>
      </c>
      <c r="B108" s="2" t="s">
        <v>203</v>
      </c>
      <c r="C108" s="3" t="s">
        <v>204</v>
      </c>
      <c r="D108" s="5" t="s">
        <v>252</v>
      </c>
      <c r="E108" s="11"/>
      <c r="F108" s="18"/>
    </row>
    <row r="109" spans="1:6" ht="45">
      <c r="A109" s="30"/>
      <c r="B109" s="2" t="s">
        <v>205</v>
      </c>
      <c r="C109" s="3" t="s">
        <v>206</v>
      </c>
      <c r="D109" s="5" t="s">
        <v>252</v>
      </c>
      <c r="E109" s="11"/>
      <c r="F109" s="18"/>
    </row>
    <row r="110" spans="1:6" ht="45">
      <c r="A110" s="30"/>
      <c r="B110" s="2" t="s">
        <v>207</v>
      </c>
      <c r="C110" s="3" t="s">
        <v>208</v>
      </c>
      <c r="D110" s="5" t="s">
        <v>252</v>
      </c>
      <c r="E110" s="11"/>
      <c r="F110" s="18"/>
    </row>
    <row r="111" spans="1:6" ht="30">
      <c r="A111" s="30"/>
      <c r="B111" s="2" t="s">
        <v>209</v>
      </c>
      <c r="C111" s="3" t="s">
        <v>210</v>
      </c>
      <c r="D111" s="5" t="s">
        <v>252</v>
      </c>
      <c r="E111" s="11"/>
      <c r="F111" s="18"/>
    </row>
    <row r="112" spans="1:6" ht="30">
      <c r="A112" s="30"/>
      <c r="B112" s="2" t="s">
        <v>211</v>
      </c>
      <c r="C112" s="3" t="s">
        <v>212</v>
      </c>
      <c r="D112" s="5" t="s">
        <v>252</v>
      </c>
      <c r="E112" s="11"/>
      <c r="F112" s="18"/>
    </row>
    <row r="113" spans="1:6" ht="45">
      <c r="A113" s="30"/>
      <c r="B113" s="2" t="s">
        <v>213</v>
      </c>
      <c r="C113" s="3" t="s">
        <v>214</v>
      </c>
      <c r="D113" s="5" t="s">
        <v>252</v>
      </c>
      <c r="E113" s="11"/>
      <c r="F113" s="18"/>
    </row>
    <row r="114" spans="1:6" ht="30">
      <c r="A114" s="30"/>
      <c r="B114" s="2" t="s">
        <v>215</v>
      </c>
      <c r="C114" s="3" t="s">
        <v>216</v>
      </c>
      <c r="D114" s="5" t="s">
        <v>252</v>
      </c>
      <c r="E114" s="11"/>
      <c r="F114" s="18"/>
    </row>
    <row r="115" spans="1:6" ht="30">
      <c r="A115" s="30"/>
      <c r="B115" s="2" t="s">
        <v>217</v>
      </c>
      <c r="C115" s="3" t="s">
        <v>218</v>
      </c>
      <c r="D115" s="5" t="s">
        <v>252</v>
      </c>
      <c r="E115" s="11"/>
      <c r="F115" s="18"/>
    </row>
    <row r="116" spans="1:6" ht="30">
      <c r="A116" s="30"/>
      <c r="B116" s="2" t="s">
        <v>219</v>
      </c>
      <c r="C116" s="3" t="s">
        <v>220</v>
      </c>
      <c r="D116" s="5" t="s">
        <v>252</v>
      </c>
      <c r="E116" s="11"/>
      <c r="F116" s="18"/>
    </row>
    <row r="117" spans="1:6" ht="45">
      <c r="A117" s="30"/>
      <c r="B117" s="2" t="s">
        <v>221</v>
      </c>
      <c r="C117" s="3" t="s">
        <v>222</v>
      </c>
      <c r="D117" s="5" t="s">
        <v>252</v>
      </c>
      <c r="E117" s="11"/>
      <c r="F117" s="18"/>
    </row>
    <row r="118" spans="1:6" ht="45">
      <c r="A118" s="30"/>
      <c r="B118" s="2" t="s">
        <v>223</v>
      </c>
      <c r="C118" s="3" t="s">
        <v>224</v>
      </c>
      <c r="D118" s="5" t="s">
        <v>252</v>
      </c>
      <c r="E118" s="11"/>
      <c r="F118" s="18"/>
    </row>
    <row r="119" spans="1:6" ht="45">
      <c r="A119" s="31"/>
      <c r="B119" s="2" t="s">
        <v>225</v>
      </c>
      <c r="C119" s="3" t="s">
        <v>226</v>
      </c>
      <c r="D119" s="5" t="s">
        <v>252</v>
      </c>
      <c r="E119" s="11"/>
      <c r="F119" s="18"/>
    </row>
    <row r="123" spans="1:6">
      <c r="A123" s="32" t="s">
        <v>235</v>
      </c>
      <c r="B123" s="32"/>
      <c r="C123" s="32"/>
      <c r="D123" s="32"/>
      <c r="E123" s="10" t="s">
        <v>236</v>
      </c>
    </row>
    <row r="124" spans="1:6" ht="34.049999999999997" customHeight="1">
      <c r="A124" s="33" t="s">
        <v>260</v>
      </c>
      <c r="B124" s="33"/>
      <c r="C124" s="33"/>
      <c r="D124" s="33"/>
      <c r="E124" s="15"/>
    </row>
    <row r="125" spans="1:6" ht="76.05" customHeight="1">
      <c r="A125" s="34" t="s">
        <v>264</v>
      </c>
      <c r="B125" s="35"/>
      <c r="C125" s="35"/>
      <c r="D125" s="36"/>
      <c r="E125" s="23" t="s">
        <v>265</v>
      </c>
    </row>
    <row r="126" spans="1:6" ht="93" customHeight="1">
      <c r="A126" s="34" t="s">
        <v>268</v>
      </c>
      <c r="B126" s="27"/>
      <c r="C126" s="27"/>
      <c r="D126" s="28"/>
      <c r="E126" s="23" t="s">
        <v>265</v>
      </c>
    </row>
    <row r="127" spans="1:6">
      <c r="A127" s="34" t="s">
        <v>266</v>
      </c>
      <c r="B127" s="35"/>
      <c r="C127" s="35"/>
      <c r="D127" s="36"/>
      <c r="E127" s="23" t="s">
        <v>267</v>
      </c>
    </row>
    <row r="128" spans="1:6">
      <c r="A128" s="26"/>
      <c r="B128" s="27"/>
      <c r="C128" s="27"/>
      <c r="D128" s="28"/>
      <c r="E128" s="15"/>
    </row>
  </sheetData>
  <mergeCells count="30">
    <mergeCell ref="A14:A22"/>
    <mergeCell ref="A1:D1"/>
    <mergeCell ref="A2:C2"/>
    <mergeCell ref="A3:C3"/>
    <mergeCell ref="A4:C4"/>
    <mergeCell ref="A5:C5"/>
    <mergeCell ref="A6:C6"/>
    <mergeCell ref="A7:C7"/>
    <mergeCell ref="A8:C8"/>
    <mergeCell ref="A9:C9"/>
    <mergeCell ref="A10:C10"/>
    <mergeCell ref="A11:C11"/>
    <mergeCell ref="A108:A119"/>
    <mergeCell ref="A23:A24"/>
    <mergeCell ref="A25:A27"/>
    <mergeCell ref="A28:A40"/>
    <mergeCell ref="A41:A48"/>
    <mergeCell ref="A49:A50"/>
    <mergeCell ref="A51:A55"/>
    <mergeCell ref="A56:A65"/>
    <mergeCell ref="A66:A69"/>
    <mergeCell ref="A70:A83"/>
    <mergeCell ref="A84:A96"/>
    <mergeCell ref="A97:A107"/>
    <mergeCell ref="A123:D123"/>
    <mergeCell ref="A124:D124"/>
    <mergeCell ref="A125:D125"/>
    <mergeCell ref="A127:D127"/>
    <mergeCell ref="A128:D128"/>
    <mergeCell ref="A126:D126"/>
  </mergeCells>
  <conditionalFormatting sqref="D14:E25 D26:D50 D28:E54 D56:E56 D74:D76 D83:D90 D55:D57 D58:E73 D91:E119 D77:E83">
    <cfRule type="expression" dxfId="47" priority="36">
      <formula>$D14="Non conforme"</formula>
    </cfRule>
    <cfRule type="expression" dxfId="46" priority="35">
      <formula>$D14="Conforme"</formula>
    </cfRule>
    <cfRule type="expression" dxfId="45" priority="34">
      <formula>$D14="Dérogé"</formula>
    </cfRule>
    <cfRule type="expression" dxfId="44" priority="33">
      <formula>$D14="Non testé"</formula>
    </cfRule>
  </conditionalFormatting>
  <conditionalFormatting sqref="E26:E27">
    <cfRule type="expression" dxfId="43" priority="25">
      <formula>$D26="Non testé"</formula>
    </cfRule>
    <cfRule type="expression" dxfId="42" priority="26">
      <formula>$D26="Dérogé"</formula>
    </cfRule>
    <cfRule type="expression" dxfId="41" priority="27">
      <formula>$D26="Conforme"</formula>
    </cfRule>
    <cfRule type="expression" dxfId="40" priority="28">
      <formula>$D26="Non conforme"</formula>
    </cfRule>
  </conditionalFormatting>
  <conditionalFormatting sqref="E55">
    <cfRule type="expression" dxfId="39" priority="21">
      <formula>$D55="Non testé"</formula>
    </cfRule>
    <cfRule type="expression" dxfId="38" priority="22">
      <formula>$D55="Dérogé"</formula>
    </cfRule>
    <cfRule type="expression" dxfId="37" priority="23">
      <formula>$D55="Conforme"</formula>
    </cfRule>
    <cfRule type="expression" dxfId="36" priority="24">
      <formula>$D55="Non conforme"</formula>
    </cfRule>
  </conditionalFormatting>
  <conditionalFormatting sqref="E84:E90">
    <cfRule type="expression" dxfId="35" priority="16">
      <formula>$D84="Non conforme"</formula>
    </cfRule>
    <cfRule type="expression" dxfId="34" priority="15">
      <formula>$D84="Conforme"</formula>
    </cfRule>
    <cfRule type="expression" dxfId="33" priority="14">
      <formula>$D84="Dérogé"</formula>
    </cfRule>
    <cfRule type="expression" dxfId="32" priority="13">
      <formula>$D84="Non testé"</formula>
    </cfRule>
  </conditionalFormatting>
  <conditionalFormatting sqref="E57">
    <cfRule type="expression" dxfId="31" priority="10">
      <formula>$D57="Dérogé"</formula>
    </cfRule>
    <cfRule type="expression" dxfId="30" priority="11">
      <formula>$D57="Conforme"</formula>
    </cfRule>
    <cfRule type="expression" dxfId="29" priority="12">
      <formula>$D57="Non conforme"</formula>
    </cfRule>
  </conditionalFormatting>
  <conditionalFormatting sqref="E57">
    <cfRule type="expression" dxfId="28" priority="9">
      <formula>$D57="Non testé"</formula>
    </cfRule>
  </conditionalFormatting>
  <conditionalFormatting sqref="E74:E75">
    <cfRule type="expression" dxfId="27" priority="5">
      <formula>$D74="Non testé"</formula>
    </cfRule>
    <cfRule type="expression" dxfId="26" priority="6">
      <formula>$D74="Dérogé"</formula>
    </cfRule>
    <cfRule type="expression" dxfId="25" priority="7">
      <formula>$D74="Conforme"</formula>
    </cfRule>
    <cfRule type="expression" dxfId="24" priority="8">
      <formula>$D74="Non conforme"</formula>
    </cfRule>
  </conditionalFormatting>
  <conditionalFormatting sqref="E76">
    <cfRule type="expression" dxfId="23" priority="1">
      <formula>$D76="Non testé"</formula>
    </cfRule>
  </conditionalFormatting>
  <conditionalFormatting sqref="E76">
    <cfRule type="expression" dxfId="22" priority="2">
      <formula>$D76="Dérogé"</formula>
    </cfRule>
    <cfRule type="expression" dxfId="21" priority="3">
      <formula>$D76="Conforme"</formula>
    </cfRule>
    <cfRule type="expression" dxfId="20" priority="4">
      <formula>$D76="Non conforme"</formula>
    </cfRule>
  </conditionalFormatting>
  <dataValidations count="2">
    <dataValidation allowBlank="1" showInputMessage="1" showErrorMessage="1" prompt="Format JJ/MM/AAAA" sqref="D3"/>
    <dataValidation type="list" allowBlank="1" showInputMessage="1" showErrorMessage="1" sqref="D14:D119">
      <formula1>"Conforme,Non conforme,Non applicable,Dérogé,Non testé"</formula1>
    </dataValidation>
  </dataValidations>
  <hyperlinks>
    <hyperlink ref="E125" r:id="rId1"/>
    <hyperlink ref="E127" r:id="rId2"/>
    <hyperlink ref="E126" r:id="rId3"/>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opLeftCell="C42" zoomScale="110" zoomScaleNormal="110" workbookViewId="0">
      <selection activeCell="E53" sqref="E53"/>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9" t="s">
        <v>247</v>
      </c>
      <c r="B1" s="39"/>
      <c r="C1" s="39"/>
      <c r="D1" s="39"/>
    </row>
    <row r="2" spans="1:6" ht="17.399999999999999">
      <c r="A2" s="40" t="s">
        <v>242</v>
      </c>
      <c r="B2" s="40"/>
      <c r="C2" s="40"/>
      <c r="D2" s="19" t="s">
        <v>243</v>
      </c>
      <c r="E2" s="19"/>
    </row>
    <row r="3" spans="1:6" ht="17.399999999999999">
      <c r="A3" s="41" t="s">
        <v>234</v>
      </c>
      <c r="B3" s="41"/>
      <c r="C3" s="41"/>
      <c r="D3" s="8">
        <v>45916</v>
      </c>
      <c r="E3" s="8"/>
    </row>
    <row r="4" spans="1:6" ht="17.399999999999999">
      <c r="A4" s="42" t="s">
        <v>238</v>
      </c>
      <c r="B4" s="43"/>
      <c r="C4" s="44"/>
      <c r="D4" s="13" t="s">
        <v>244</v>
      </c>
      <c r="E4" s="20"/>
    </row>
    <row r="5" spans="1:6" ht="16.05" customHeight="1">
      <c r="A5" s="41" t="s">
        <v>230</v>
      </c>
      <c r="B5" s="41"/>
      <c r="C5" s="41"/>
      <c r="D5" s="9">
        <f xml:space="preserve"> COUNTIF($D$14:$D$119,"Conforme")</f>
        <v>15</v>
      </c>
      <c r="E5" s="9"/>
    </row>
    <row r="6" spans="1:6" ht="17.399999999999999">
      <c r="A6" s="41" t="s">
        <v>231</v>
      </c>
      <c r="B6" s="41"/>
      <c r="C6" s="41"/>
      <c r="D6" s="9">
        <f xml:space="preserve"> COUNTIF($D$14:$D$119,"Non conforme")</f>
        <v>6</v>
      </c>
      <c r="E6" s="9"/>
    </row>
    <row r="7" spans="1:6" ht="17.399999999999999">
      <c r="A7" s="41" t="s">
        <v>237</v>
      </c>
      <c r="B7" s="41"/>
      <c r="C7" s="41"/>
      <c r="D7" s="9">
        <f xml:space="preserve"> COUNTIF($D$14:$D$119,"Non applicable")</f>
        <v>85</v>
      </c>
      <c r="E7" s="9"/>
    </row>
    <row r="8" spans="1:6" ht="17.399999999999999">
      <c r="A8" s="41" t="s">
        <v>232</v>
      </c>
      <c r="B8" s="41"/>
      <c r="C8" s="41"/>
      <c r="D8" s="9">
        <f xml:space="preserve"> COUNTIF($D$14:$D$119,"Dérogé")</f>
        <v>0</v>
      </c>
      <c r="E8" s="9"/>
    </row>
    <row r="9" spans="1:6" ht="17.399999999999999">
      <c r="A9" s="41" t="s">
        <v>233</v>
      </c>
      <c r="B9" s="41"/>
      <c r="C9" s="41"/>
      <c r="D9" s="9">
        <f xml:space="preserve"> COUNTIF($D$14:$D$119,"Non testé")</f>
        <v>0</v>
      </c>
      <c r="E9" s="9"/>
    </row>
    <row r="10" spans="1:6" ht="19.05" customHeight="1">
      <c r="A10" s="45" t="s">
        <v>239</v>
      </c>
      <c r="B10" s="46"/>
      <c r="C10" s="47"/>
      <c r="D10" s="14">
        <f>IF(SUM(D5:D6)&gt;0,D5/SUM(D5:D6),"")</f>
        <v>0.7142857142857143</v>
      </c>
      <c r="E10" s="21"/>
    </row>
    <row r="11" spans="1:6" ht="19.05" customHeight="1">
      <c r="A11" s="45" t="s">
        <v>240</v>
      </c>
      <c r="B11" s="46"/>
      <c r="C11" s="47"/>
      <c r="D11" s="14">
        <f>IF(SUM(D5:D6)&gt;0,1-ROUND(D10,2),"")</f>
        <v>0.29000000000000004</v>
      </c>
      <c r="E11" s="21"/>
    </row>
    <row r="12" spans="1:6">
      <c r="A12" s="7"/>
      <c r="B12" s="7"/>
      <c r="C12" s="7"/>
    </row>
    <row r="13" spans="1:6" ht="17.399999999999999">
      <c r="A13" s="4" t="s">
        <v>0</v>
      </c>
      <c r="B13" s="4" t="s">
        <v>229</v>
      </c>
      <c r="C13" s="4" t="s">
        <v>1</v>
      </c>
      <c r="D13" s="4" t="s">
        <v>227</v>
      </c>
      <c r="E13" s="6" t="s">
        <v>228</v>
      </c>
      <c r="F13" s="17" t="s">
        <v>241</v>
      </c>
    </row>
    <row r="14" spans="1:6" ht="17.399999999999999">
      <c r="A14" s="38" t="s">
        <v>2</v>
      </c>
      <c r="B14" s="2" t="s">
        <v>3</v>
      </c>
      <c r="C14" s="3" t="s">
        <v>4</v>
      </c>
      <c r="D14" s="5" t="s">
        <v>252</v>
      </c>
      <c r="E14" s="11"/>
      <c r="F14" s="18"/>
    </row>
    <row r="15" spans="1:6" ht="30">
      <c r="A15" s="30"/>
      <c r="B15" s="2" t="s">
        <v>5</v>
      </c>
      <c r="C15" s="3" t="s">
        <v>6</v>
      </c>
      <c r="D15" s="5" t="s">
        <v>249</v>
      </c>
      <c r="E15" s="16" t="s">
        <v>251</v>
      </c>
      <c r="F15" s="18"/>
    </row>
    <row r="16" spans="1:6" ht="30">
      <c r="A16" s="30"/>
      <c r="B16" s="2" t="s">
        <v>7</v>
      </c>
      <c r="C16" s="3" t="s">
        <v>8</v>
      </c>
      <c r="D16" s="5" t="s">
        <v>252</v>
      </c>
      <c r="E16" s="11"/>
      <c r="F16" s="18"/>
    </row>
    <row r="17" spans="1:6" ht="45">
      <c r="A17" s="30"/>
      <c r="B17" s="2" t="s">
        <v>9</v>
      </c>
      <c r="C17" s="3" t="s">
        <v>10</v>
      </c>
      <c r="D17" s="5" t="s">
        <v>252</v>
      </c>
      <c r="E17" s="11"/>
      <c r="F17" s="18"/>
    </row>
    <row r="18" spans="1:6" ht="30">
      <c r="A18" s="30"/>
      <c r="B18" s="2" t="s">
        <v>11</v>
      </c>
      <c r="C18" s="3" t="s">
        <v>12</v>
      </c>
      <c r="D18" s="5" t="s">
        <v>252</v>
      </c>
      <c r="E18" s="11"/>
      <c r="F18" s="18"/>
    </row>
    <row r="19" spans="1:6" ht="30">
      <c r="A19" s="30"/>
      <c r="B19" s="2" t="s">
        <v>13</v>
      </c>
      <c r="C19" s="3" t="s">
        <v>14</v>
      </c>
      <c r="D19" s="5" t="s">
        <v>252</v>
      </c>
      <c r="E19" s="11"/>
      <c r="F19" s="18"/>
    </row>
    <row r="20" spans="1:6" ht="30">
      <c r="A20" s="30"/>
      <c r="B20" s="2" t="s">
        <v>15</v>
      </c>
      <c r="C20" s="3" t="s">
        <v>16</v>
      </c>
      <c r="D20" s="5" t="s">
        <v>252</v>
      </c>
      <c r="E20" s="11"/>
      <c r="F20" s="18"/>
    </row>
    <row r="21" spans="1:6" ht="45">
      <c r="A21" s="30"/>
      <c r="B21" s="2" t="s">
        <v>17</v>
      </c>
      <c r="C21" s="3" t="s">
        <v>18</v>
      </c>
      <c r="D21" s="5" t="s">
        <v>252</v>
      </c>
      <c r="E21" s="11"/>
      <c r="F21" s="18"/>
    </row>
    <row r="22" spans="1:6" ht="30">
      <c r="A22" s="31"/>
      <c r="B22" s="2" t="s">
        <v>19</v>
      </c>
      <c r="C22" s="3" t="s">
        <v>20</v>
      </c>
      <c r="D22" s="5" t="s">
        <v>252</v>
      </c>
      <c r="E22" s="11"/>
      <c r="F22" s="18"/>
    </row>
    <row r="23" spans="1:6" ht="17.399999999999999">
      <c r="A23" s="29" t="s">
        <v>21</v>
      </c>
      <c r="B23" s="2" t="s">
        <v>22</v>
      </c>
      <c r="C23" s="3" t="s">
        <v>23</v>
      </c>
      <c r="D23" s="5" t="s">
        <v>252</v>
      </c>
      <c r="E23" s="11"/>
      <c r="F23" s="18"/>
    </row>
    <row r="24" spans="1:6" ht="30">
      <c r="A24" s="31"/>
      <c r="B24" s="2" t="s">
        <v>24</v>
      </c>
      <c r="C24" s="3" t="s">
        <v>25</v>
      </c>
      <c r="D24" s="5" t="s">
        <v>252</v>
      </c>
      <c r="E24" s="11"/>
      <c r="F24" s="18"/>
    </row>
    <row r="25" spans="1:6" ht="75">
      <c r="A25" s="29" t="s">
        <v>26</v>
      </c>
      <c r="B25" s="2" t="s">
        <v>27</v>
      </c>
      <c r="C25" s="3" t="s">
        <v>28</v>
      </c>
      <c r="D25" s="5" t="s">
        <v>248</v>
      </c>
      <c r="E25" s="11" t="s">
        <v>292</v>
      </c>
      <c r="F25" s="18"/>
    </row>
    <row r="26" spans="1:6" ht="60">
      <c r="A26" s="30"/>
      <c r="B26" s="2" t="s">
        <v>29</v>
      </c>
      <c r="C26" s="3" t="s">
        <v>30</v>
      </c>
      <c r="D26" s="5" t="s">
        <v>248</v>
      </c>
      <c r="E26" s="11" t="s">
        <v>250</v>
      </c>
      <c r="F26" s="18"/>
    </row>
    <row r="27" spans="1:6" ht="105">
      <c r="A27" s="31"/>
      <c r="B27" s="2" t="s">
        <v>31</v>
      </c>
      <c r="C27" s="3" t="s">
        <v>32</v>
      </c>
      <c r="D27" s="5" t="s">
        <v>248</v>
      </c>
      <c r="E27" s="11" t="s">
        <v>255</v>
      </c>
      <c r="F27" s="18"/>
    </row>
    <row r="28" spans="1:6" ht="30">
      <c r="A28" s="29" t="s">
        <v>33</v>
      </c>
      <c r="B28" s="2" t="s">
        <v>34</v>
      </c>
      <c r="C28" s="3" t="s">
        <v>35</v>
      </c>
      <c r="D28" s="5" t="s">
        <v>252</v>
      </c>
      <c r="E28" s="11"/>
      <c r="F28" s="18"/>
    </row>
    <row r="29" spans="1:6" ht="45">
      <c r="A29" s="30"/>
      <c r="B29" s="2" t="s">
        <v>36</v>
      </c>
      <c r="C29" s="3" t="s">
        <v>37</v>
      </c>
      <c r="D29" s="5" t="s">
        <v>252</v>
      </c>
      <c r="E29" s="11"/>
      <c r="F29" s="18"/>
    </row>
    <row r="30" spans="1:6" ht="30">
      <c r="A30" s="30"/>
      <c r="B30" s="2" t="s">
        <v>38</v>
      </c>
      <c r="C30" s="3" t="s">
        <v>39</v>
      </c>
      <c r="D30" s="5" t="s">
        <v>252</v>
      </c>
      <c r="E30" s="11"/>
      <c r="F30" s="18"/>
    </row>
    <row r="31" spans="1:6" ht="30">
      <c r="A31" s="30"/>
      <c r="B31" s="2" t="s">
        <v>40</v>
      </c>
      <c r="C31" s="3" t="s">
        <v>41</v>
      </c>
      <c r="D31" s="5" t="s">
        <v>252</v>
      </c>
      <c r="E31" s="11"/>
      <c r="F31" s="18"/>
    </row>
    <row r="32" spans="1:6" ht="30">
      <c r="A32" s="30"/>
      <c r="B32" s="2" t="s">
        <v>42</v>
      </c>
      <c r="C32" s="3" t="s">
        <v>43</v>
      </c>
      <c r="D32" s="5" t="s">
        <v>252</v>
      </c>
      <c r="E32" s="11"/>
      <c r="F32" s="18"/>
    </row>
    <row r="33" spans="1:6" ht="30">
      <c r="A33" s="30"/>
      <c r="B33" s="2" t="s">
        <v>44</v>
      </c>
      <c r="C33" s="3" t="s">
        <v>45</v>
      </c>
      <c r="D33" s="5" t="s">
        <v>252</v>
      </c>
      <c r="E33" s="11"/>
      <c r="F33" s="18"/>
    </row>
    <row r="34" spans="1:6" ht="30">
      <c r="A34" s="30"/>
      <c r="B34" s="2" t="s">
        <v>46</v>
      </c>
      <c r="C34" s="3" t="s">
        <v>47</v>
      </c>
      <c r="D34" s="5" t="s">
        <v>252</v>
      </c>
      <c r="E34" s="11"/>
      <c r="F34" s="18"/>
    </row>
    <row r="35" spans="1:6" ht="30">
      <c r="A35" s="30"/>
      <c r="B35" s="2" t="s">
        <v>48</v>
      </c>
      <c r="C35" s="3" t="s">
        <v>49</v>
      </c>
      <c r="D35" s="5" t="s">
        <v>252</v>
      </c>
      <c r="E35" s="11"/>
      <c r="F35" s="18"/>
    </row>
    <row r="36" spans="1:6" ht="30">
      <c r="A36" s="30"/>
      <c r="B36" s="2" t="s">
        <v>50</v>
      </c>
      <c r="C36" s="3" t="s">
        <v>51</v>
      </c>
      <c r="D36" s="5" t="s">
        <v>252</v>
      </c>
      <c r="E36" s="11"/>
      <c r="F36" s="18"/>
    </row>
    <row r="37" spans="1:6" ht="30">
      <c r="A37" s="30"/>
      <c r="B37" s="2" t="s">
        <v>52</v>
      </c>
      <c r="C37" s="3" t="s">
        <v>53</v>
      </c>
      <c r="D37" s="5" t="s">
        <v>252</v>
      </c>
      <c r="E37" s="11"/>
      <c r="F37" s="18"/>
    </row>
    <row r="38" spans="1:6" ht="30">
      <c r="A38" s="30"/>
      <c r="B38" s="2" t="s">
        <v>54</v>
      </c>
      <c r="C38" s="3" t="s">
        <v>55</v>
      </c>
      <c r="D38" s="5" t="s">
        <v>252</v>
      </c>
      <c r="E38" s="11"/>
      <c r="F38" s="18"/>
    </row>
    <row r="39" spans="1:6" ht="30">
      <c r="A39" s="30"/>
      <c r="B39" s="2" t="s">
        <v>56</v>
      </c>
      <c r="C39" s="3" t="s">
        <v>57</v>
      </c>
      <c r="D39" s="5" t="s">
        <v>252</v>
      </c>
      <c r="E39" s="11"/>
      <c r="F39" s="18"/>
    </row>
    <row r="40" spans="1:6" ht="30">
      <c r="A40" s="31"/>
      <c r="B40" s="2" t="s">
        <v>58</v>
      </c>
      <c r="C40" s="3" t="s">
        <v>59</v>
      </c>
      <c r="D40" s="5" t="s">
        <v>252</v>
      </c>
      <c r="E40" s="11"/>
      <c r="F40" s="18"/>
    </row>
    <row r="41" spans="1:6" ht="17.399999999999999">
      <c r="A41" s="29" t="s">
        <v>60</v>
      </c>
      <c r="B41" s="2" t="s">
        <v>61</v>
      </c>
      <c r="C41" s="3" t="s">
        <v>62</v>
      </c>
      <c r="D41" s="5" t="s">
        <v>252</v>
      </c>
      <c r="E41" s="11"/>
      <c r="F41" s="18"/>
    </row>
    <row r="42" spans="1:6" ht="30">
      <c r="A42" s="30"/>
      <c r="B42" s="2" t="s">
        <v>63</v>
      </c>
      <c r="C42" s="3" t="s">
        <v>64</v>
      </c>
      <c r="D42" s="5" t="s">
        <v>252</v>
      </c>
      <c r="E42" s="11"/>
      <c r="F42" s="18"/>
    </row>
    <row r="43" spans="1:6" ht="30">
      <c r="A43" s="30"/>
      <c r="B43" s="2" t="s">
        <v>65</v>
      </c>
      <c r="C43" s="3" t="s">
        <v>66</v>
      </c>
      <c r="D43" s="5" t="s">
        <v>252</v>
      </c>
      <c r="E43" s="11"/>
      <c r="F43" s="18"/>
    </row>
    <row r="44" spans="1:6" ht="30">
      <c r="A44" s="30"/>
      <c r="B44" s="2" t="s">
        <v>67</v>
      </c>
      <c r="C44" s="3" t="s">
        <v>68</v>
      </c>
      <c r="D44" s="5" t="s">
        <v>252</v>
      </c>
      <c r="E44" s="11"/>
      <c r="F44" s="18"/>
    </row>
    <row r="45" spans="1:6" ht="17.399999999999999">
      <c r="A45" s="30"/>
      <c r="B45" s="2" t="s">
        <v>69</v>
      </c>
      <c r="C45" s="3" t="s">
        <v>70</v>
      </c>
      <c r="D45" s="5" t="s">
        <v>252</v>
      </c>
      <c r="E45" s="11"/>
      <c r="F45" s="18"/>
    </row>
    <row r="46" spans="1:6" ht="30">
      <c r="A46" s="30"/>
      <c r="B46" s="2" t="s">
        <v>71</v>
      </c>
      <c r="C46" s="3" t="s">
        <v>72</v>
      </c>
      <c r="D46" s="5" t="s">
        <v>252</v>
      </c>
      <c r="E46" s="11"/>
      <c r="F46" s="18"/>
    </row>
    <row r="47" spans="1:6" ht="45">
      <c r="A47" s="30"/>
      <c r="B47" s="2" t="s">
        <v>73</v>
      </c>
      <c r="C47" s="3" t="s">
        <v>74</v>
      </c>
      <c r="D47" s="5" t="s">
        <v>252</v>
      </c>
      <c r="E47" s="11"/>
      <c r="F47" s="18"/>
    </row>
    <row r="48" spans="1:6" ht="30">
      <c r="A48" s="31"/>
      <c r="B48" s="2" t="s">
        <v>75</v>
      </c>
      <c r="C48" s="3" t="s">
        <v>76</v>
      </c>
      <c r="D48" s="5" t="s">
        <v>252</v>
      </c>
      <c r="E48" s="11"/>
      <c r="F48" s="18"/>
    </row>
    <row r="49" spans="1:6" ht="17.399999999999999">
      <c r="A49" s="29" t="s">
        <v>77</v>
      </c>
      <c r="B49" s="2" t="s">
        <v>78</v>
      </c>
      <c r="C49" s="3" t="s">
        <v>79</v>
      </c>
      <c r="D49" s="5" t="s">
        <v>252</v>
      </c>
      <c r="E49" s="11"/>
      <c r="F49" s="18"/>
    </row>
    <row r="50" spans="1:6" ht="17.399999999999999">
      <c r="A50" s="31"/>
      <c r="B50" s="2" t="s">
        <v>80</v>
      </c>
      <c r="C50" s="3" t="s">
        <v>81</v>
      </c>
      <c r="D50" s="5" t="s">
        <v>252</v>
      </c>
      <c r="E50" s="11"/>
      <c r="F50" s="18"/>
    </row>
    <row r="51" spans="1:6" ht="90.6">
      <c r="A51" s="29" t="s">
        <v>82</v>
      </c>
      <c r="B51" s="2" t="s">
        <v>83</v>
      </c>
      <c r="C51" s="3" t="s">
        <v>84</v>
      </c>
      <c r="D51" s="5" t="s">
        <v>249</v>
      </c>
      <c r="E51" s="11" t="s">
        <v>296</v>
      </c>
      <c r="F51" s="18"/>
    </row>
    <row r="52" spans="1:6" ht="30">
      <c r="A52" s="30"/>
      <c r="B52" s="2" t="s">
        <v>85</v>
      </c>
      <c r="C52" s="3" t="s">
        <v>86</v>
      </c>
      <c r="D52" s="5" t="s">
        <v>252</v>
      </c>
      <c r="E52" s="11"/>
      <c r="F52" s="18"/>
    </row>
    <row r="53" spans="1:6" ht="75">
      <c r="A53" s="30"/>
      <c r="B53" s="2" t="s">
        <v>87</v>
      </c>
      <c r="C53" s="3" t="s">
        <v>88</v>
      </c>
      <c r="D53" s="5" t="s">
        <v>249</v>
      </c>
      <c r="E53" s="11" t="s">
        <v>256</v>
      </c>
      <c r="F53" s="18"/>
    </row>
    <row r="54" spans="1:6" ht="30">
      <c r="A54" s="30"/>
      <c r="B54" s="2" t="s">
        <v>89</v>
      </c>
      <c r="C54" s="3" t="s">
        <v>90</v>
      </c>
      <c r="D54" s="5" t="s">
        <v>252</v>
      </c>
      <c r="E54" s="11"/>
      <c r="F54" s="18"/>
    </row>
    <row r="55" spans="1:6" ht="30">
      <c r="A55" s="31"/>
      <c r="B55" s="2" t="s">
        <v>91</v>
      </c>
      <c r="C55" s="3" t="s">
        <v>92</v>
      </c>
      <c r="D55" s="5" t="s">
        <v>249</v>
      </c>
      <c r="E55" s="11" t="s">
        <v>253</v>
      </c>
      <c r="F55" s="18"/>
    </row>
    <row r="56" spans="1:6" ht="17.399999999999999">
      <c r="A56" s="29" t="s">
        <v>93</v>
      </c>
      <c r="B56" s="2" t="s">
        <v>94</v>
      </c>
      <c r="C56" s="3" t="s">
        <v>95</v>
      </c>
      <c r="D56" s="5" t="s">
        <v>252</v>
      </c>
      <c r="E56" s="11"/>
      <c r="F56" s="18"/>
    </row>
    <row r="57" spans="1:6" ht="75">
      <c r="A57" s="30"/>
      <c r="B57" s="2" t="s">
        <v>96</v>
      </c>
      <c r="C57" s="3" t="s">
        <v>97</v>
      </c>
      <c r="D57" s="5" t="s">
        <v>249</v>
      </c>
      <c r="E57" s="11" t="s">
        <v>282</v>
      </c>
      <c r="F57" s="18"/>
    </row>
    <row r="58" spans="1:6" ht="17.399999999999999">
      <c r="A58" s="30"/>
      <c r="B58" s="2" t="s">
        <v>98</v>
      </c>
      <c r="C58" s="3" t="s">
        <v>99</v>
      </c>
      <c r="D58" s="5" t="s">
        <v>252</v>
      </c>
      <c r="E58" s="11"/>
      <c r="F58" s="18"/>
    </row>
    <row r="59" spans="1:6" ht="30">
      <c r="A59" s="30"/>
      <c r="B59" s="2" t="s">
        <v>100</v>
      </c>
      <c r="C59" s="3" t="s">
        <v>101</v>
      </c>
      <c r="D59" s="5" t="s">
        <v>252</v>
      </c>
      <c r="E59" s="11"/>
      <c r="F59" s="18"/>
    </row>
    <row r="60" spans="1:6" ht="17.399999999999999">
      <c r="A60" s="30"/>
      <c r="B60" s="2" t="s">
        <v>102</v>
      </c>
      <c r="C60" s="3" t="s">
        <v>103</v>
      </c>
      <c r="D60" s="5" t="s">
        <v>252</v>
      </c>
      <c r="E60" s="11"/>
      <c r="F60" s="18"/>
    </row>
    <row r="61" spans="1:6" ht="17.399999999999999">
      <c r="A61" s="30"/>
      <c r="B61" s="2" t="s">
        <v>104</v>
      </c>
      <c r="C61" s="3" t="s">
        <v>105</v>
      </c>
      <c r="D61" s="5" t="s">
        <v>252</v>
      </c>
      <c r="E61" s="11"/>
      <c r="F61" s="18"/>
    </row>
    <row r="62" spans="1:6" ht="30">
      <c r="A62" s="30"/>
      <c r="B62" s="2" t="s">
        <v>106</v>
      </c>
      <c r="C62" s="3" t="s">
        <v>107</v>
      </c>
      <c r="D62" s="5" t="s">
        <v>252</v>
      </c>
      <c r="E62" s="11"/>
      <c r="F62" s="18"/>
    </row>
    <row r="63" spans="1:6" ht="30">
      <c r="A63" s="30"/>
      <c r="B63" s="2" t="s">
        <v>108</v>
      </c>
      <c r="C63" s="3" t="s">
        <v>109</v>
      </c>
      <c r="D63" s="5" t="s">
        <v>252</v>
      </c>
      <c r="E63" s="11"/>
      <c r="F63" s="18"/>
    </row>
    <row r="64" spans="1:6" ht="30">
      <c r="A64" s="30"/>
      <c r="B64" s="2" t="s">
        <v>110</v>
      </c>
      <c r="C64" s="3" t="s">
        <v>111</v>
      </c>
      <c r="D64" s="5" t="s">
        <v>252</v>
      </c>
      <c r="E64" s="11"/>
      <c r="F64" s="18"/>
    </row>
    <row r="65" spans="1:6" ht="30">
      <c r="A65" s="31"/>
      <c r="B65" s="2" t="s">
        <v>112</v>
      </c>
      <c r="C65" s="3" t="s">
        <v>113</v>
      </c>
      <c r="D65" s="5" t="s">
        <v>252</v>
      </c>
      <c r="E65" s="11"/>
      <c r="F65" s="18"/>
    </row>
    <row r="66" spans="1:6" ht="30">
      <c r="A66" s="29" t="s">
        <v>114</v>
      </c>
      <c r="B66" s="2" t="s">
        <v>115</v>
      </c>
      <c r="C66" s="3" t="s">
        <v>116</v>
      </c>
      <c r="D66" s="5" t="s">
        <v>252</v>
      </c>
      <c r="E66" s="11"/>
      <c r="F66" s="18"/>
    </row>
    <row r="67" spans="1:6" ht="30">
      <c r="A67" s="30"/>
      <c r="B67" s="2" t="s">
        <v>117</v>
      </c>
      <c r="C67" s="3" t="s">
        <v>118</v>
      </c>
      <c r="D67" s="5" t="s">
        <v>252</v>
      </c>
      <c r="E67" s="11"/>
      <c r="F67" s="18"/>
    </row>
    <row r="68" spans="1:6" ht="17.399999999999999">
      <c r="A68" s="30"/>
      <c r="B68" s="2" t="s">
        <v>119</v>
      </c>
      <c r="C68" s="3" t="s">
        <v>120</v>
      </c>
      <c r="D68" s="5" t="s">
        <v>252</v>
      </c>
      <c r="E68" s="11"/>
      <c r="F68" s="18"/>
    </row>
    <row r="69" spans="1:6" ht="30">
      <c r="A69" s="31"/>
      <c r="B69" s="2" t="s">
        <v>121</v>
      </c>
      <c r="C69" s="3" t="s">
        <v>122</v>
      </c>
      <c r="D69" s="5" t="s">
        <v>252</v>
      </c>
      <c r="E69" s="11"/>
      <c r="F69" s="18"/>
    </row>
    <row r="70" spans="1:6" ht="45">
      <c r="A70" s="29" t="s">
        <v>123</v>
      </c>
      <c r="B70" s="2" t="s">
        <v>124</v>
      </c>
      <c r="C70" s="3" t="s">
        <v>125</v>
      </c>
      <c r="D70" s="5" t="s">
        <v>248</v>
      </c>
      <c r="E70" s="11" t="s">
        <v>283</v>
      </c>
      <c r="F70" s="18"/>
    </row>
    <row r="71" spans="1:6" ht="30">
      <c r="A71" s="30"/>
      <c r="B71" s="2" t="s">
        <v>126</v>
      </c>
      <c r="C71" s="3" t="s">
        <v>127</v>
      </c>
      <c r="D71" s="5" t="s">
        <v>248</v>
      </c>
      <c r="E71" s="11" t="s">
        <v>284</v>
      </c>
      <c r="F71" s="18"/>
    </row>
    <row r="72" spans="1:6" ht="30">
      <c r="A72" s="30"/>
      <c r="B72" s="2" t="s">
        <v>128</v>
      </c>
      <c r="C72" s="3" t="s">
        <v>129</v>
      </c>
      <c r="D72" s="5" t="s">
        <v>248</v>
      </c>
      <c r="E72" s="11" t="s">
        <v>285</v>
      </c>
      <c r="F72" s="18"/>
    </row>
    <row r="73" spans="1:6" ht="45">
      <c r="A73" s="30"/>
      <c r="B73" s="2" t="s">
        <v>130</v>
      </c>
      <c r="C73" s="3" t="s">
        <v>131</v>
      </c>
      <c r="D73" s="5" t="s">
        <v>248</v>
      </c>
      <c r="E73" s="11" t="s">
        <v>286</v>
      </c>
      <c r="F73" s="18"/>
    </row>
    <row r="74" spans="1:6" ht="30">
      <c r="A74" s="30"/>
      <c r="B74" s="2" t="s">
        <v>132</v>
      </c>
      <c r="C74" s="3" t="s">
        <v>133</v>
      </c>
      <c r="D74" s="5" t="s">
        <v>252</v>
      </c>
      <c r="E74" s="11"/>
      <c r="F74" s="18"/>
    </row>
    <row r="75" spans="1:6" ht="30">
      <c r="A75" s="30"/>
      <c r="B75" s="2" t="s">
        <v>134</v>
      </c>
      <c r="C75" s="3" t="s">
        <v>135</v>
      </c>
      <c r="D75" s="5" t="s">
        <v>252</v>
      </c>
      <c r="E75" s="11"/>
      <c r="F75" s="18"/>
    </row>
    <row r="76" spans="1:6" ht="30">
      <c r="A76" s="30"/>
      <c r="B76" s="2" t="s">
        <v>136</v>
      </c>
      <c r="C76" s="3" t="s">
        <v>137</v>
      </c>
      <c r="D76" s="5" t="s">
        <v>248</v>
      </c>
      <c r="E76" s="11" t="s">
        <v>254</v>
      </c>
      <c r="F76" s="18"/>
    </row>
    <row r="77" spans="1:6" ht="30">
      <c r="A77" s="30"/>
      <c r="B77" s="2" t="s">
        <v>138</v>
      </c>
      <c r="C77" s="3" t="s">
        <v>139</v>
      </c>
      <c r="D77" s="5" t="s">
        <v>249</v>
      </c>
      <c r="E77" s="11" t="s">
        <v>295</v>
      </c>
      <c r="F77" s="18"/>
    </row>
    <row r="78" spans="1:6" ht="45">
      <c r="A78" s="30"/>
      <c r="B78" s="2" t="s">
        <v>140</v>
      </c>
      <c r="C78" s="3" t="s">
        <v>141</v>
      </c>
      <c r="D78" s="5" t="s">
        <v>252</v>
      </c>
      <c r="E78" s="11"/>
      <c r="F78" s="18"/>
    </row>
    <row r="79" spans="1:6" ht="45">
      <c r="A79" s="30"/>
      <c r="B79" s="2" t="s">
        <v>142</v>
      </c>
      <c r="C79" s="3" t="s">
        <v>143</v>
      </c>
      <c r="D79" s="5" t="s">
        <v>252</v>
      </c>
      <c r="E79" s="11"/>
      <c r="F79" s="18"/>
    </row>
    <row r="80" spans="1:6" ht="75">
      <c r="A80" s="30"/>
      <c r="B80" s="2" t="s">
        <v>144</v>
      </c>
      <c r="C80" s="3" t="s">
        <v>145</v>
      </c>
      <c r="D80" s="5" t="s">
        <v>248</v>
      </c>
      <c r="E80" s="16" t="s">
        <v>279</v>
      </c>
      <c r="F80" s="18"/>
    </row>
    <row r="81" spans="1:6" ht="105">
      <c r="A81" s="30"/>
      <c r="B81" s="2" t="s">
        <v>146</v>
      </c>
      <c r="C81" s="3" t="s">
        <v>147</v>
      </c>
      <c r="D81" s="5" t="s">
        <v>248</v>
      </c>
      <c r="E81" s="16" t="s">
        <v>278</v>
      </c>
      <c r="F81" s="18"/>
    </row>
    <row r="82" spans="1:6" ht="45">
      <c r="A82" s="30"/>
      <c r="B82" s="2" t="s">
        <v>148</v>
      </c>
      <c r="C82" s="3" t="s">
        <v>149</v>
      </c>
      <c r="D82" s="5" t="s">
        <v>252</v>
      </c>
      <c r="E82" s="11"/>
      <c r="F82" s="18"/>
    </row>
    <row r="83" spans="1:6" ht="45">
      <c r="A83" s="31"/>
      <c r="B83" s="2" t="s">
        <v>150</v>
      </c>
      <c r="C83" s="3" t="s">
        <v>151</v>
      </c>
      <c r="D83" s="5" t="s">
        <v>252</v>
      </c>
      <c r="E83" s="11"/>
      <c r="F83" s="18"/>
    </row>
    <row r="84" spans="1:6" ht="17.399999999999999">
      <c r="A84" s="29" t="s">
        <v>152</v>
      </c>
      <c r="B84" s="2" t="s">
        <v>153</v>
      </c>
      <c r="C84" s="3" t="s">
        <v>154</v>
      </c>
      <c r="D84" s="5" t="s">
        <v>252</v>
      </c>
      <c r="E84" s="11" t="s">
        <v>277</v>
      </c>
      <c r="F84" s="18"/>
    </row>
    <row r="85" spans="1:6" ht="30">
      <c r="A85" s="30"/>
      <c r="B85" s="2" t="s">
        <v>155</v>
      </c>
      <c r="C85" s="3" t="s">
        <v>156</v>
      </c>
      <c r="D85" s="5" t="s">
        <v>252</v>
      </c>
      <c r="E85" s="11" t="s">
        <v>277</v>
      </c>
      <c r="F85" s="18"/>
    </row>
    <row r="86" spans="1:6" ht="45">
      <c r="A86" s="30"/>
      <c r="B86" s="2" t="s">
        <v>157</v>
      </c>
      <c r="C86" s="3" t="s">
        <v>158</v>
      </c>
      <c r="D86" s="5" t="s">
        <v>252</v>
      </c>
      <c r="E86" s="11"/>
      <c r="F86" s="18"/>
    </row>
    <row r="87" spans="1:6" ht="30">
      <c r="A87" s="30"/>
      <c r="B87" s="2" t="s">
        <v>159</v>
      </c>
      <c r="C87" s="3" t="s">
        <v>160</v>
      </c>
      <c r="D87" s="5" t="s">
        <v>252</v>
      </c>
      <c r="E87" s="11" t="s">
        <v>277</v>
      </c>
      <c r="F87" s="18"/>
    </row>
    <row r="88" spans="1:6" ht="30">
      <c r="A88" s="30"/>
      <c r="B88" s="2" t="s">
        <v>161</v>
      </c>
      <c r="C88" s="3" t="s">
        <v>162</v>
      </c>
      <c r="D88" s="5" t="s">
        <v>248</v>
      </c>
      <c r="E88" s="24" t="s">
        <v>274</v>
      </c>
      <c r="F88" s="18"/>
    </row>
    <row r="89" spans="1:6" ht="30">
      <c r="A89" s="30"/>
      <c r="B89" s="2" t="s">
        <v>163</v>
      </c>
      <c r="C89" s="3" t="s">
        <v>164</v>
      </c>
      <c r="D89" s="5" t="s">
        <v>248</v>
      </c>
      <c r="E89" s="24" t="s">
        <v>275</v>
      </c>
      <c r="F89" s="18"/>
    </row>
    <row r="90" spans="1:6" ht="30">
      <c r="A90" s="30"/>
      <c r="B90" s="2" t="s">
        <v>165</v>
      </c>
      <c r="C90" s="3" t="s">
        <v>166</v>
      </c>
      <c r="D90" s="5" t="s">
        <v>248</v>
      </c>
      <c r="E90" s="24" t="s">
        <v>276</v>
      </c>
      <c r="F90" s="18"/>
    </row>
    <row r="91" spans="1:6" ht="30">
      <c r="A91" s="30"/>
      <c r="B91" s="2" t="s">
        <v>167</v>
      </c>
      <c r="C91" s="3" t="s">
        <v>168</v>
      </c>
      <c r="D91" s="5" t="s">
        <v>252</v>
      </c>
      <c r="E91" s="11"/>
      <c r="F91" s="18"/>
    </row>
    <row r="92" spans="1:6" ht="30">
      <c r="A92" s="30"/>
      <c r="B92" s="2" t="s">
        <v>169</v>
      </c>
      <c r="C92" s="3" t="s">
        <v>170</v>
      </c>
      <c r="D92" s="5" t="s">
        <v>252</v>
      </c>
      <c r="E92" s="11"/>
      <c r="F92" s="18"/>
    </row>
    <row r="93" spans="1:6" ht="30">
      <c r="A93" s="30"/>
      <c r="B93" s="2" t="s">
        <v>171</v>
      </c>
      <c r="C93" s="3" t="s">
        <v>172</v>
      </c>
      <c r="D93" s="5" t="s">
        <v>252</v>
      </c>
      <c r="E93" s="11"/>
      <c r="F93" s="18"/>
    </row>
    <row r="94" spans="1:6" ht="45">
      <c r="A94" s="30"/>
      <c r="B94" s="2" t="s">
        <v>173</v>
      </c>
      <c r="C94" s="3" t="s">
        <v>174</v>
      </c>
      <c r="D94" s="5" t="s">
        <v>252</v>
      </c>
      <c r="E94" s="11"/>
      <c r="F94" s="18"/>
    </row>
    <row r="95" spans="1:6" ht="60">
      <c r="A95" s="30"/>
      <c r="B95" s="2" t="s">
        <v>175</v>
      </c>
      <c r="C95" s="3" t="s">
        <v>176</v>
      </c>
      <c r="D95" s="5" t="s">
        <v>252</v>
      </c>
      <c r="E95" s="11"/>
      <c r="F95" s="18"/>
    </row>
    <row r="96" spans="1:6" ht="30">
      <c r="A96" s="31"/>
      <c r="B96" s="2" t="s">
        <v>177</v>
      </c>
      <c r="C96" s="3" t="s">
        <v>178</v>
      </c>
      <c r="D96" s="5" t="s">
        <v>252</v>
      </c>
      <c r="E96" s="11"/>
      <c r="F96" s="18"/>
    </row>
    <row r="97" spans="1:6" ht="30">
      <c r="A97" s="29" t="s">
        <v>179</v>
      </c>
      <c r="B97" s="2" t="s">
        <v>180</v>
      </c>
      <c r="C97" s="3" t="s">
        <v>181</v>
      </c>
      <c r="D97" s="5" t="s">
        <v>252</v>
      </c>
      <c r="E97" s="11"/>
      <c r="F97" s="18"/>
    </row>
    <row r="98" spans="1:6" ht="30">
      <c r="A98" s="30"/>
      <c r="B98" s="2" t="s">
        <v>182</v>
      </c>
      <c r="C98" s="3" t="s">
        <v>183</v>
      </c>
      <c r="D98" s="5" t="s">
        <v>252</v>
      </c>
      <c r="E98" s="11"/>
      <c r="F98" s="18"/>
    </row>
    <row r="99" spans="1:6" ht="17.399999999999999">
      <c r="A99" s="30"/>
      <c r="B99" s="2" t="s">
        <v>184</v>
      </c>
      <c r="C99" s="3" t="s">
        <v>185</v>
      </c>
      <c r="D99" s="5" t="s">
        <v>252</v>
      </c>
      <c r="E99" s="11"/>
      <c r="F99" s="18"/>
    </row>
    <row r="100" spans="1:6" ht="30">
      <c r="A100" s="30"/>
      <c r="B100" s="2" t="s">
        <v>186</v>
      </c>
      <c r="C100" s="3" t="s">
        <v>187</v>
      </c>
      <c r="D100" s="5" t="s">
        <v>252</v>
      </c>
      <c r="E100" s="11"/>
      <c r="F100" s="18"/>
    </row>
    <row r="101" spans="1:6" ht="30">
      <c r="A101" s="30"/>
      <c r="B101" s="2" t="s">
        <v>188</v>
      </c>
      <c r="C101" s="3" t="s">
        <v>189</v>
      </c>
      <c r="D101" s="5" t="s">
        <v>252</v>
      </c>
      <c r="E101" s="11"/>
      <c r="F101" s="18"/>
    </row>
    <row r="102" spans="1:6" ht="60">
      <c r="A102" s="30"/>
      <c r="B102" s="2" t="s">
        <v>190</v>
      </c>
      <c r="C102" s="3" t="s">
        <v>191</v>
      </c>
      <c r="D102" s="5" t="s">
        <v>252</v>
      </c>
      <c r="E102" s="11"/>
      <c r="F102" s="18"/>
    </row>
    <row r="103" spans="1:6" ht="30">
      <c r="A103" s="30"/>
      <c r="B103" s="2" t="s">
        <v>192</v>
      </c>
      <c r="C103" s="3" t="s">
        <v>193</v>
      </c>
      <c r="D103" s="5" t="s">
        <v>252</v>
      </c>
      <c r="E103" s="11"/>
      <c r="F103" s="18"/>
    </row>
    <row r="104" spans="1:6" ht="17.399999999999999">
      <c r="A104" s="30"/>
      <c r="B104" s="2" t="s">
        <v>194</v>
      </c>
      <c r="C104" s="3" t="s">
        <v>195</v>
      </c>
      <c r="D104" s="5" t="s">
        <v>248</v>
      </c>
      <c r="E104" s="11" t="s">
        <v>291</v>
      </c>
      <c r="F104" s="18"/>
    </row>
    <row r="105" spans="1:6" ht="30">
      <c r="A105" s="30"/>
      <c r="B105" s="2" t="s">
        <v>196</v>
      </c>
      <c r="C105" s="3" t="s">
        <v>197</v>
      </c>
      <c r="D105" s="5" t="s">
        <v>248</v>
      </c>
      <c r="E105" s="11" t="s">
        <v>290</v>
      </c>
      <c r="F105" s="18"/>
    </row>
    <row r="106" spans="1:6" ht="45">
      <c r="A106" s="30"/>
      <c r="B106" s="2" t="s">
        <v>198</v>
      </c>
      <c r="C106" s="3" t="s">
        <v>199</v>
      </c>
      <c r="D106" s="5" t="s">
        <v>252</v>
      </c>
      <c r="E106" s="11"/>
      <c r="F106" s="18"/>
    </row>
    <row r="107" spans="1:6" ht="45">
      <c r="A107" s="31"/>
      <c r="B107" s="2" t="s">
        <v>200</v>
      </c>
      <c r="C107" s="3" t="s">
        <v>201</v>
      </c>
      <c r="D107" s="5" t="s">
        <v>252</v>
      </c>
      <c r="E107" s="11"/>
      <c r="F107" s="18"/>
    </row>
    <row r="108" spans="1:6" ht="30">
      <c r="A108" s="29" t="s">
        <v>202</v>
      </c>
      <c r="B108" s="2" t="s">
        <v>203</v>
      </c>
      <c r="C108" s="3" t="s">
        <v>204</v>
      </c>
      <c r="D108" s="5" t="s">
        <v>252</v>
      </c>
      <c r="E108" s="11"/>
      <c r="F108" s="18"/>
    </row>
    <row r="109" spans="1:6" ht="45">
      <c r="A109" s="30"/>
      <c r="B109" s="2" t="s">
        <v>205</v>
      </c>
      <c r="C109" s="3" t="s">
        <v>206</v>
      </c>
      <c r="D109" s="5" t="s">
        <v>252</v>
      </c>
      <c r="E109" s="11"/>
      <c r="F109" s="18"/>
    </row>
    <row r="110" spans="1:6" ht="45">
      <c r="A110" s="30"/>
      <c r="B110" s="2" t="s">
        <v>207</v>
      </c>
      <c r="C110" s="3" t="s">
        <v>208</v>
      </c>
      <c r="D110" s="5" t="s">
        <v>252</v>
      </c>
      <c r="E110" s="11"/>
      <c r="F110" s="18"/>
    </row>
    <row r="111" spans="1:6" ht="30">
      <c r="A111" s="30"/>
      <c r="B111" s="2" t="s">
        <v>209</v>
      </c>
      <c r="C111" s="3" t="s">
        <v>210</v>
      </c>
      <c r="D111" s="5" t="s">
        <v>252</v>
      </c>
      <c r="E111" s="11"/>
      <c r="F111" s="18"/>
    </row>
    <row r="112" spans="1:6" ht="30">
      <c r="A112" s="30"/>
      <c r="B112" s="2" t="s">
        <v>211</v>
      </c>
      <c r="C112" s="3" t="s">
        <v>212</v>
      </c>
      <c r="D112" s="5" t="s">
        <v>252</v>
      </c>
      <c r="E112" s="11"/>
      <c r="F112" s="18"/>
    </row>
    <row r="113" spans="1:6" ht="45">
      <c r="A113" s="30"/>
      <c r="B113" s="2" t="s">
        <v>213</v>
      </c>
      <c r="C113" s="3" t="s">
        <v>214</v>
      </c>
      <c r="D113" s="5" t="s">
        <v>252</v>
      </c>
      <c r="E113" s="11"/>
      <c r="F113" s="18"/>
    </row>
    <row r="114" spans="1:6" ht="30">
      <c r="A114" s="30"/>
      <c r="B114" s="2" t="s">
        <v>215</v>
      </c>
      <c r="C114" s="3" t="s">
        <v>216</v>
      </c>
      <c r="D114" s="5" t="s">
        <v>252</v>
      </c>
      <c r="E114" s="11"/>
      <c r="F114" s="18"/>
    </row>
    <row r="115" spans="1:6" ht="30">
      <c r="A115" s="30"/>
      <c r="B115" s="2" t="s">
        <v>217</v>
      </c>
      <c r="C115" s="3" t="s">
        <v>218</v>
      </c>
      <c r="D115" s="5" t="s">
        <v>252</v>
      </c>
      <c r="E115" s="11"/>
      <c r="F115" s="18"/>
    </row>
    <row r="116" spans="1:6" ht="30">
      <c r="A116" s="30"/>
      <c r="B116" s="2" t="s">
        <v>219</v>
      </c>
      <c r="C116" s="3" t="s">
        <v>220</v>
      </c>
      <c r="D116" s="5" t="s">
        <v>252</v>
      </c>
      <c r="E116" s="11"/>
      <c r="F116" s="18"/>
    </row>
    <row r="117" spans="1:6" ht="45">
      <c r="A117" s="30"/>
      <c r="B117" s="2" t="s">
        <v>221</v>
      </c>
      <c r="C117" s="3" t="s">
        <v>222</v>
      </c>
      <c r="D117" s="5" t="s">
        <v>252</v>
      </c>
      <c r="E117" s="11"/>
      <c r="F117" s="18"/>
    </row>
    <row r="118" spans="1:6" ht="45">
      <c r="A118" s="30"/>
      <c r="B118" s="2" t="s">
        <v>223</v>
      </c>
      <c r="C118" s="3" t="s">
        <v>224</v>
      </c>
      <c r="D118" s="5" t="s">
        <v>252</v>
      </c>
      <c r="E118" s="11"/>
      <c r="F118" s="18"/>
    </row>
    <row r="119" spans="1:6" ht="45">
      <c r="A119" s="31"/>
      <c r="B119" s="2" t="s">
        <v>225</v>
      </c>
      <c r="C119" s="3" t="s">
        <v>226</v>
      </c>
      <c r="D119" s="5" t="s">
        <v>252</v>
      </c>
      <c r="E119" s="11"/>
      <c r="F119" s="18"/>
    </row>
    <row r="123" spans="1:6">
      <c r="A123" s="32" t="s">
        <v>235</v>
      </c>
      <c r="B123" s="32"/>
      <c r="C123" s="32"/>
      <c r="D123" s="32"/>
      <c r="E123" s="10" t="s">
        <v>236</v>
      </c>
    </row>
    <row r="124" spans="1:6" ht="40.950000000000003" customHeight="1">
      <c r="A124" s="33" t="s">
        <v>260</v>
      </c>
      <c r="B124" s="33"/>
      <c r="C124" s="33"/>
      <c r="D124" s="33"/>
      <c r="E124" s="15"/>
    </row>
    <row r="125" spans="1:6" ht="73.05" customHeight="1">
      <c r="A125" s="34" t="s">
        <v>270</v>
      </c>
      <c r="B125" s="35"/>
      <c r="C125" s="35"/>
      <c r="D125" s="36"/>
      <c r="E125" s="23" t="s">
        <v>269</v>
      </c>
    </row>
    <row r="126" spans="1:6" ht="99" customHeight="1">
      <c r="A126" s="34" t="s">
        <v>268</v>
      </c>
      <c r="B126" s="27"/>
      <c r="C126" s="27"/>
      <c r="D126" s="28"/>
      <c r="E126" s="23" t="s">
        <v>269</v>
      </c>
    </row>
    <row r="127" spans="1:6" ht="25.95" customHeight="1">
      <c r="A127" s="34" t="s">
        <v>266</v>
      </c>
      <c r="B127" s="35"/>
      <c r="C127" s="35"/>
      <c r="D127" s="36"/>
      <c r="E127" s="23" t="s">
        <v>267</v>
      </c>
    </row>
  </sheetData>
  <mergeCells count="29">
    <mergeCell ref="A126:D126"/>
    <mergeCell ref="A28:A40"/>
    <mergeCell ref="A11:C11"/>
    <mergeCell ref="A125:D125"/>
    <mergeCell ref="A127:D127"/>
    <mergeCell ref="A41:A48"/>
    <mergeCell ref="A123:D123"/>
    <mergeCell ref="A124:D124"/>
    <mergeCell ref="A97:A107"/>
    <mergeCell ref="A108:A119"/>
    <mergeCell ref="A49:A50"/>
    <mergeCell ref="A51:A55"/>
    <mergeCell ref="A56:A65"/>
    <mergeCell ref="A66:A69"/>
    <mergeCell ref="A70:A83"/>
    <mergeCell ref="A84:A96"/>
    <mergeCell ref="A10:C10"/>
    <mergeCell ref="A7:C7"/>
    <mergeCell ref="A14:A22"/>
    <mergeCell ref="A23:A24"/>
    <mergeCell ref="A25:A27"/>
    <mergeCell ref="A1:D1"/>
    <mergeCell ref="A5:C5"/>
    <mergeCell ref="A6:C6"/>
    <mergeCell ref="A8:C8"/>
    <mergeCell ref="A9:C9"/>
    <mergeCell ref="A3:C3"/>
    <mergeCell ref="A4:C4"/>
    <mergeCell ref="A2:C2"/>
  </mergeCells>
  <conditionalFormatting sqref="D88:D90 D14:E14 D15 D80:D81 D82:E87 D91:E119">
    <cfRule type="expression" dxfId="19" priority="24">
      <formula>$D14="Dérogé"</formula>
    </cfRule>
  </conditionalFormatting>
  <conditionalFormatting sqref="D88:D90 D91:E119">
    <cfRule type="expression" dxfId="18" priority="20">
      <formula>$D88="Non testé"</formula>
    </cfRule>
  </conditionalFormatting>
  <conditionalFormatting sqref="D14:E14 D15 D80:D81 D82:E87 D88:D90 D91:E119">
    <cfRule type="expression" dxfId="17" priority="25">
      <formula>$D14="Conforme"</formula>
    </cfRule>
    <cfRule type="expression" dxfId="16" priority="26">
      <formula>$D14="Non conforme"</formula>
    </cfRule>
  </conditionalFormatting>
  <conditionalFormatting sqref="D14:E56 D57 D58:E69 D70:D73 D74:E87">
    <cfRule type="expression" dxfId="15" priority="9">
      <formula>$D14="Non testé"</formula>
    </cfRule>
  </conditionalFormatting>
  <conditionalFormatting sqref="D16:E56 D57 D58:E69 D70:D73 D74:E79">
    <cfRule type="expression" dxfId="14" priority="13">
      <formula>$D16="Dérogé"</formula>
    </cfRule>
    <cfRule type="expression" dxfId="13" priority="14">
      <formula>$D16="Conforme"</formula>
    </cfRule>
    <cfRule type="expression" dxfId="12" priority="15">
      <formula>$D16="Non conforme"</formula>
    </cfRule>
  </conditionalFormatting>
  <conditionalFormatting sqref="E15">
    <cfRule type="expression" dxfId="11" priority="21">
      <formula>$D15="Conforme"</formula>
    </cfRule>
    <cfRule type="expression" dxfId="10" priority="22">
      <formula>$D15="Non conforme"</formula>
    </cfRule>
  </conditionalFormatting>
  <conditionalFormatting sqref="E80:E81">
    <cfRule type="expression" dxfId="9" priority="10">
      <formula>$D80="Conforme"</formula>
    </cfRule>
    <cfRule type="expression" dxfId="8" priority="11">
      <formula>$D80="Non conforme"</formula>
    </cfRule>
  </conditionalFormatting>
  <conditionalFormatting sqref="E57">
    <cfRule type="expression" dxfId="7" priority="6">
      <formula>$D57="Dérogé"</formula>
    </cfRule>
    <cfRule type="expression" dxfId="6" priority="7">
      <formula>$D57="Conforme"</formula>
    </cfRule>
    <cfRule type="expression" dxfId="5" priority="8">
      <formula>$D57="Non conforme"</formula>
    </cfRule>
  </conditionalFormatting>
  <conditionalFormatting sqref="E57">
    <cfRule type="expression" dxfId="4" priority="5">
      <formula>$D57="Non testé"</formula>
    </cfRule>
  </conditionalFormatting>
  <conditionalFormatting sqref="E70:E73">
    <cfRule type="expression" dxfId="3" priority="1">
      <formula>$D70="Non testé"</formula>
    </cfRule>
    <cfRule type="expression" dxfId="2" priority="2">
      <formula>$D70="Dérogé"</formula>
    </cfRule>
    <cfRule type="expression" dxfId="1" priority="3">
      <formula>$D70="Conforme"</formula>
    </cfRule>
    <cfRule type="expression" dxfId="0" priority="4">
      <formula>$D70="Non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hyperlinks>
    <hyperlink ref="E127" r:id="rId1"/>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RatingPicker (Default)</vt:lpstr>
      <vt:lpstr>RatingPicker (Numbers)</vt:lpstr>
      <vt:lpstr>RatingPicker (Stars)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2025-09-26T15:18:36Z</dcterms:modified>
</cp:coreProperties>
</file>
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16"/>
  <workbookPr/>
  <mc:AlternateContent xmlns:mc="http://schemas.openxmlformats.org/markup-compatibility/2006">
    <mc:Choice Requires="x15">
      <x15ac:absPath xmlns:x15ac="http://schemas.microsoft.com/office/spreadsheetml/2010/11/ac" url="https://people.ey.com/personal/julien_roche_fabernovel_ey_com/Documents/Documents/CNAM Audits/"/>
    </mc:Choice>
  </mc:AlternateContent>
  <xr:revisionPtr revIDLastSave="0" documentId="8_{318CEB8D-E158-4697-A003-FCD16822E6FC}" xr6:coauthVersionLast="47" xr6:coauthVersionMax="47" xr10:uidLastSave="{00000000-0000-0000-0000-000000000000}"/>
  <bookViews>
    <workbookView xWindow="0" yWindow="760" windowWidth="30240" windowHeight="17440" xr2:uid="{00000000-000D-0000-FFFF-FFFF00000000}"/>
  </bookViews>
  <sheets>
    <sheet name="LangBtn" sheetId="7"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7" l="1"/>
  <c r="D8" i="7"/>
  <c r="D7" i="7"/>
  <c r="D6" i="7"/>
  <c r="D5" i="7"/>
  <c r="D10" i="7" l="1"/>
  <c r="D11" i="7" s="1"/>
</calcChain>
</file>

<file path=xl/sharedStrings.xml><?xml version="1.0" encoding="utf-8"?>
<sst xmlns="http://schemas.openxmlformats.org/spreadsheetml/2006/main" count="386" uniqueCount="276">
  <si>
    <t>Composant : LangBtn</t>
  </si>
  <si>
    <t>Audit V1</t>
  </si>
  <si>
    <t>Correction post audit V1 (voir - https://github.com/assurance-maladie-digital/design-system/issues/4009)</t>
  </si>
  <si>
    <t>Date</t>
  </si>
  <si>
    <t>23/04/2025</t>
  </si>
  <si>
    <t>Version</t>
  </si>
  <si>
    <t>0.0.11-alpha</t>
  </si>
  <si>
    <t>0.0.5-alpha</t>
  </si>
  <si>
    <t>Nombre de critères conformes</t>
  </si>
  <si>
    <t>Nombre de critères non conformes</t>
  </si>
  <si>
    <t>Nombre de critères non applicable</t>
  </si>
  <si>
    <t>Nombre de critères dérogés</t>
  </si>
  <si>
    <t>Nombre de critères non testés</t>
  </si>
  <si>
    <t>Pourcentage de conformité</t>
  </si>
  <si>
    <t>Pourcentage de non-conformité</t>
  </si>
  <si>
    <t>Thématique</t>
  </si>
  <si>
    <t>N° critère</t>
  </si>
  <si>
    <t>Recommandation</t>
  </si>
  <si>
    <t>Conformité</t>
  </si>
  <si>
    <t>Description de l'erreur / Remarques / Questions</t>
  </si>
  <si>
    <t>Numéro de ticket</t>
  </si>
  <si>
    <t>IMAGES</t>
  </si>
  <si>
    <t>1.1</t>
  </si>
  <si>
    <t>Chaque image porteuse d’information a-t-elle une alternative textuelle ?</t>
  </si>
  <si>
    <t>Non applicable</t>
  </si>
  <si>
    <t>1.2</t>
  </si>
  <si>
    <t>Chaque image de décoration est-elle correctement ignorée par les technologies d’assistance ?</t>
  </si>
  <si>
    <t>Conforme</t>
  </si>
  <si>
    <t>Icône flèche possède l'attribut aria-hidden="true". C'est l'attribut aria-expanded sur le bouton qui donne l'information aux technologies d'assistance que le menu est ouvert.</t>
  </si>
  <si>
    <t>1.3</t>
  </si>
  <si>
    <t>Pour chaque image porteuse d'information ayant une alternative textuelle, cette alternative est-elle pertinente (hors cas particuliers) ?</t>
  </si>
  <si>
    <t>1.4</t>
  </si>
  <si>
    <t>Pour chaque image utilisée comme CAPTCHA ou comme image-test, ayant une alternative textuelle, cette alternative permet-elle d’identifier la nature et la fonction de l’image ?</t>
  </si>
  <si>
    <t>1.5</t>
  </si>
  <si>
    <t>Pour chaque image utilisée comme CAPTCHA, une solution d’accès alternatif au contenu ou à la fonction du CAPTCHA est-elle présente ?</t>
  </si>
  <si>
    <t>1.6</t>
  </si>
  <si>
    <t>Chaque image porteuse d’information a-t-elle, si nécessaire, une description détaillée ?</t>
  </si>
  <si>
    <t>1.7</t>
  </si>
  <si>
    <t>Pour chaque image porteuse d’information ayant une description détaillée, cette description est-elle pertinente ?</t>
  </si>
  <si>
    <t>1.8</t>
  </si>
  <si>
    <t>Chaque image texte porteuse d’information, en l’absence d’un mécanisme de remplacement, doit si possible être remplacée par du texte stylé. Cette règle est-elle respectée (hors cas particuliers) ?</t>
  </si>
  <si>
    <t>1.9</t>
  </si>
  <si>
    <t>Chaque légende d’image est-elle, si nécessaire, correctement reliée à l’image correspondante ?</t>
  </si>
  <si>
    <t>CADRES</t>
  </si>
  <si>
    <t>2.1</t>
  </si>
  <si>
    <t>Chaque cadre a-t-il un titre de cadre ?</t>
  </si>
  <si>
    <t>2.2</t>
  </si>
  <si>
    <t>Pour chaque cadre ayant un titre de cadre, ce titre de cadre est-il pertinent ?</t>
  </si>
  <si>
    <t>COULEURS</t>
  </si>
  <si>
    <t>3.1</t>
  </si>
  <si>
    <t>Dans chaque page web, l’information ne doit pas être donnée uniquement par la couleur. Cette règle est-elle respectée ?</t>
  </si>
  <si>
    <t>3.2</t>
  </si>
  <si>
    <t>Dans chaque page web, le contraste entre la couleur du texte et la couleur de son arrière-plan est-il suffisamment élevé (hors cas particuliers) ?</t>
  </si>
  <si>
    <t>Non conforme</t>
  </si>
  <si>
    <t>Theme clair :
Default :
- normal =&gt; fond blanc, texte bleu 16px =&gt;  9,38 (conforme)
- focus =&gt; fond blanc cassé, texte bleu 16px =&gt; 7,6  (conforme)
- hover =&gt; fond blanc cassé, texte bleu 16px =&gt;  8,8 (conforme)
Flat :
- normal =&gt; fond bleu, texte bleu 16px =&gt; 9,38 (conforme)
- focus =&gt; fond bleu, texte blanc 16 px =&gt; 5,1 (conforme)
- hover =&gt; fond bleu, texte blanc 16px =&gt; 7,7 (conforme)
Texte des items (Default + Flat) =&gt; 
- normal =&gt; fond blanc, texte noir 16px =&gt; 18,73 (conforme)
- focus =&gt; fond gris, texte noir 16px =&gt; 12,2 (conforme)
- hover =&gt; fond gris, texte noir 16px =&gt; 14,9 (conforme)
Theme sombre :
- Default :
- normal =&gt; fond noir, texte bleu azur 16px =&gt;  5,2 (conforme)
- focus =&gt; fond bleu foncé, texte bleu azur 16px =&gt; 4,2 (non conforme =&gt; rapport de 4,5 minimum)
- hover =&gt; fond bleu foncé, texte bleu azur 16px =&gt; 4,9 (conforme)
- Flat :
- normal =&gt; fond bleu azur, texte blanc 16px =&gt; 3,18 (non conforme =&gt; rapport de 4,5 minimum)
- focus =&gt; fond bleur clair, texte blanc 16px =&gt; 2,4 (non conforme =&gt; rapport de 4,5 minimum)
- hover =&gt; fond bleu azur, texte blanc 16px =&gt; 2,9 (non conforme =&gt; rapport de 4,5 minimum)
- Texte des items :
- normal =&gt; fond noir, texte blanc 16px =&gt; 16,1 (conforme)
- focus =&gt; fond gris, texte blanc 16px =&gt; 11 (conforme)
- hover =&gt; fond gris foncé, texte blanc 16px =&gt; 14,4 (conforme)</t>
  </si>
  <si>
    <t>corrigé dans la version 0.0.15-alpha</t>
  </si>
  <si>
    <t>3.3</t>
  </si>
  <si>
    <t>Dans chaque page web, les couleurs utilisées dans les composants d’interface ou les éléments graphiques porteurs d’informations sont-elles suffisamment contrastées (hors cas particuliers) ?</t>
  </si>
  <si>
    <t>Theme clair :
Default :
- normal =&gt; fond blanc, bordure bleue =&gt; 9,4 (conforme)
- focus (2 bordures) :
    - entre fond et bordure =&gt; 1,5  (non conforme =&gt; rapport de 3 minimum)
    - entre 2 bordures =&gt; 5  (conforme)
- hover =&gt; fond blanc cassé, bordure bleue =&gt; 8,8 (conforme)
Flat :
- focus =&gt; fond bleu, bordure bleue =&gt; 2,5 (non conforme =&gt; rapport de 3 minimum)
- normal/hover =&gt; N/A
Item du menu (Default + Flat) :
- focus =&gt; bordure grise, fond gris =&gt; 1,3 (non conforme =&gt; rapport de 3 minimum)
- normal/hover =&gt; N/A
Theme sombre :
Default :
- normal =&gt; fond bleu foncé, bordure azur =&gt; 5,2 (conforme)
- focus (2 bordures) :
    - entre fond et bordure =&gt; 1,5 (non conforme =&gt; rapport de 3 minimum)
    - entre 2 bordures =&gt; 2,6 (non conforme =&gt; rapport de 3 minimum)
- hover =&gt; fond bleu foncé, bordure azur =&gt; 4,9 (conforme)
Flat :
- focus =&gt; fond bleu azur, bordure bleu clair =&gt; 1,6 (non conforme =&gt; rapport de 3 minimum)
- normal/hover =&gt; N/A
Item du menu (Default + Flat) :
- focus =&gt; fond gris, bordure grise claire =&gt; 1,6 (non conforme =&gt; rapport de 3 minimum)
- normal/hover =&gt; N/A</t>
  </si>
  <si>
    <t>MULTIMÉDIA</t>
  </si>
  <si>
    <t>4.1</t>
  </si>
  <si>
    <t>Chaque média temporel pré-enregistré a-t-il, si nécessaire, une transcription textuelle ou une audiodescription (hors cas particuliers) ?</t>
  </si>
  <si>
    <t>4.2</t>
  </si>
  <si>
    <t>Pour chaque média temporel pré-enregistré ayant une transcription textuelle ou une audiodescription synchronisée, celles-ci sont-elles pertinentes (hors cas particuliers) ?</t>
  </si>
  <si>
    <t>4.3</t>
  </si>
  <si>
    <t>Chaque média temporel synchronisé pré-enregistré a-t-il, si nécessaire, des sous-titres synchronisés (hors cas particuliers) ?</t>
  </si>
  <si>
    <t>4.4</t>
  </si>
  <si>
    <t>Pour chaque média temporel synchronisé pré-enregistré ayant des sous-titres synchronisés, ces sous-titres sont-ils pertinents ?</t>
  </si>
  <si>
    <t>4.5</t>
  </si>
  <si>
    <t>Chaque média temporel pré-enregistré a-t-il, si nécessaire, une audiodescription synchronisée (hors cas particuliers) ?</t>
  </si>
  <si>
    <t>4.6</t>
  </si>
  <si>
    <t>Pour chaque média temporel pré-enregistré ayant une audiodescription synchronisée, celle-ci est-elle pertinente ?</t>
  </si>
  <si>
    <t>4.7</t>
  </si>
  <si>
    <t>Chaque média temporel est-il clairement identifiable (hors cas particuliers) ?</t>
  </si>
  <si>
    <t>4.8</t>
  </si>
  <si>
    <t>Chaque média non temporel a-t-il, si nécessaire, une alternative (hors cas particuliers) ?</t>
  </si>
  <si>
    <t>4.9</t>
  </si>
  <si>
    <t>Pour chaque média non temporel ayant une alternative, cette alternative est-elle pertinente ?</t>
  </si>
  <si>
    <t>4.10</t>
  </si>
  <si>
    <t>Chaque son déclenché automatiquement est-il contrôlable par l’utilisateur ?</t>
  </si>
  <si>
    <t>4.11</t>
  </si>
  <si>
    <t>La consultation de chaque média temporel est-elle, si nécessaire, contrôlable par le clavier et tout dispositif de pointage ?</t>
  </si>
  <si>
    <t>4.12</t>
  </si>
  <si>
    <t>La consultation de chaque média non temporel est-elle contrôlable par le clavier et tout dispositif de pointage ?</t>
  </si>
  <si>
    <t>4.13</t>
  </si>
  <si>
    <t>Chaque média temporel et non temporel est-il compatible avec les technologies d’assistance (hors cas particuliers) ?</t>
  </si>
  <si>
    <t>TABLEAUX</t>
  </si>
  <si>
    <t>5.1</t>
  </si>
  <si>
    <t>Chaque tableau de données complexe a-t-il un résumé ?</t>
  </si>
  <si>
    <t>5.2</t>
  </si>
  <si>
    <t>Pour chaque tableau de données complexe ayant un résumé, celui-ci est-il pertinent ?</t>
  </si>
  <si>
    <t>5.3</t>
  </si>
  <si>
    <t>Pour chaque tableau de mise en forme, le contenu linéarisé reste-t-il compréhensible ?</t>
  </si>
  <si>
    <t>5.4</t>
  </si>
  <si>
    <t>Pour chaque tableau de données ayant un titre, le titre est-il correctement associé au tableau de données ?</t>
  </si>
  <si>
    <t>5.5</t>
  </si>
  <si>
    <t>Pour chaque tableau de données ayant un titre, celui-ci est-il pertinent ?</t>
  </si>
  <si>
    <t>5.6</t>
  </si>
  <si>
    <t>Pour chaque tableau de données, chaque en-tête de colonnes et chaque en-tête de lignes sont-ils correctement déclarés ?</t>
  </si>
  <si>
    <t>5.7</t>
  </si>
  <si>
    <t>Pour chaque tableau de données, la technique appropriée permettant d’associer chaque cellule avec ses en-têtes est-elle utilisée (hors cas particuliers) ?</t>
  </si>
  <si>
    <t>5.8</t>
  </si>
  <si>
    <t>Chaque tableau de mise en forme ne doit pas utiliser d’éléments propres aux tableaux de données. Cette règle est-elle respectée ?</t>
  </si>
  <si>
    <t>LIENS</t>
  </si>
  <si>
    <t>6.1</t>
  </si>
  <si>
    <t>Chaque lien est-il explicite (hors cas particuliers) ?</t>
  </si>
  <si>
    <t>6.2</t>
  </si>
  <si>
    <t>Dans chaque page web, chaque lien a-t-il un intitulé ?</t>
  </si>
  <si>
    <t>SCRIPTS</t>
  </si>
  <si>
    <t>7.1</t>
  </si>
  <si>
    <t>Chaque script est-il, si nécessaire, compatible avec les technologies d’assistance ?</t>
  </si>
  <si>
    <t>Positifs :
- Le composant button qui ouvre le menu est bien de type button avec les attributs aria-haspopup, aria-expanded et aria-controls. Il est bien rattaché au menu.
- Le menu possède bien le nom accessible du bouton (via un aria-labelledby).
Négatifs :
- Le menu (le v-list) doit posséder l'attribut aria-activedescendant qui donne l'id de l'item sélectionné afin que le lecteur d'écran puisse l'identifier.
- Lorsque l'on ouvre le menu avec le clavier, le focus n'est pas placé automatiquement sur le premier élément du menu (le v-list qui a un tabindex="0").
- Le rôle du menu n'est pas le bon =&gt; nous avons un rôle "listbox" au lieu de "menu". L'item, lui, possède le bon rôle "menuitem". L'attribution des bons rôles permettra au lecteur d'écran d'indiquer que l'utilisateur se trouve dans un menu et d'indiquer sa position dans le menu (il est sur l'item X sur Y).
- Impossibilité de naviguer dans les propositions du menu via un lecteur d'écran (voir si l'attributions des rôles résout le problème).
- À la fermeture du menu, le focus doit être redirigé sur le bouton.</t>
  </si>
  <si>
    <t>7.2</t>
  </si>
  <si>
    <t>Pour chaque script ayant une alternative, cette alternative est-elle pertinente ?</t>
  </si>
  <si>
    <t>7.3</t>
  </si>
  <si>
    <t>Chaque script est-il contrôlable par le clavier et par tout dispositif de pointage (hors cas particuliers) ?</t>
  </si>
  <si>
    <t>Positifs : 
- Je peux ouvrir et fermer le menu en faisant Entrer ou Espace
- Je peux ouvrir le menu en faisant flèche Bas
- Je peux sortir du menu via Echap
- Je peux naviguer dans les items en utilisant les flèches Haut et Bas
- Si je suis sur le dernier item, la flèche Bas me dirige vers le premier élément (et inv  ersement)
- Le touches Home et End me dirige respectivement vers le premier ou le dernier élément
Négatifs :
- À la fermeture du menu, le focus doit être redirigé sur le bouton.
- (Optionnel) Si on tape sur une touche "lettre", déplace le focus vers l'élément de menu suivant avec un item qui commence par le caractère tapé si un tel élément de menu existe. Aucun mouvement si aucun item ne correspond.
Pour en savoir plus : https://www.w3.org/WAI/ARIA/apg/patterns/menu-button/examples/menu-button-links/</t>
  </si>
  <si>
    <t>7.4</t>
  </si>
  <si>
    <t>Pour chaque script qui initie un changement de contexte, l’utilisateur est-il averti ou en a-t-il le contrôle ?</t>
  </si>
  <si>
    <t>7.5</t>
  </si>
  <si>
    <t>Dans chaque page web, les messages de statut sont-ils correctement restitués par les technologies d’assistance ?</t>
  </si>
  <si>
    <t>ÉLÉMENTS OBLIGATOIRES</t>
  </si>
  <si>
    <t>8.1</t>
  </si>
  <si>
    <t>Chaque page web est-elle définie par un type de document ?</t>
  </si>
  <si>
    <t>8.2</t>
  </si>
  <si>
    <t>Pour chaque page web, le code source généré est-il valide selon le type de document spécifié (hors cas particuliers) ?</t>
  </si>
  <si>
    <t>1- Attribut offsety non autorisé une div (celle du container).
2- Les items du Select possèdent un conflit entre aria-label et aria-labelledby. Le aria-label est bon, le aria-labelledby n'a que peu d'intérêt et est mal configuré (présent d'un id + d'un libellé). Code source =&gt; "aria-label="Choix de la langue Afaraf" aria-labelledby="lang-menu-id Afaraf".
Rapport du validateur W3C :
- "Attribute offsety not allowed on element div at this point."
- "The aria-labelledby attribute must point to an element in the same document."</t>
  </si>
  <si>
    <t>8.3</t>
  </si>
  <si>
    <t>Dans chaque page web, la langue par défaut est-elle présente ?</t>
  </si>
  <si>
    <t>8.4</t>
  </si>
  <si>
    <t>Pour chaque page web ayant une langue par défaut, le code de langue est-il pertinent ?</t>
  </si>
  <si>
    <t>8.5</t>
  </si>
  <si>
    <t>Chaque page web a-t-elle un titre de page ?</t>
  </si>
  <si>
    <t>8.6</t>
  </si>
  <si>
    <t>Pour chaque page web ayant un titre de page, ce titre est-il pertinent ?</t>
  </si>
  <si>
    <t>8.7</t>
  </si>
  <si>
    <t>Dans chaque page web, chaque changement de langue est-il indiqué dans le code source (hors cas particuliers) ?</t>
  </si>
  <si>
    <t>Les items du Select doivent posséder l'attribut "lang" afin que les technologies d'assistance puissent restituer dans la bonne langue le texte.</t>
  </si>
  <si>
    <t>8.8</t>
  </si>
  <si>
    <t>Dans chaque page web, le code de langue de chaque changement de langue est-il valide et pertinent ?</t>
  </si>
  <si>
    <t>8.9</t>
  </si>
  <si>
    <t>Dans chaque page web, les balises ne doivent pas être utilisées uniquement à des fins de présentation. Cette règle est-elle respectée ?</t>
  </si>
  <si>
    <t>8.10</t>
  </si>
  <si>
    <t>Dans chaque page web, les changements du sens de lecture sont-ils signalés ?</t>
  </si>
  <si>
    <t>STRUCTURATION</t>
  </si>
  <si>
    <t>9.1</t>
  </si>
  <si>
    <t>Dans chaque page web, l’information est-elle structurée par l’utilisation appropriée de titres ?</t>
  </si>
  <si>
    <t>9.2</t>
  </si>
  <si>
    <t>Dans chaque page web, la structure du document est-elle cohérente (hors cas particuliers) ?</t>
  </si>
  <si>
    <t>9.3</t>
  </si>
  <si>
    <t>Dans chaque page web, chaque liste est-elle correctement structurée ?</t>
  </si>
  <si>
    <t>9.4</t>
  </si>
  <si>
    <t>Dans chaque page web, chaque citation est-elle correctement indiquée ?</t>
  </si>
  <si>
    <t>PRÉSENTATION</t>
  </si>
  <si>
    <t>10.1</t>
  </si>
  <si>
    <t>Dans le site web, des feuilles de styles sont-elles utilisées pour contrôler la présentation de l’information ?</t>
  </si>
  <si>
    <t xml:space="preserve">Aucune balise ou attribut servant à la présentation de l'information n'est présent sur le composant, les styles sont bien réalisés par CSS. Une attention particulière est notée pour les espaces (sur un mot, un tableau ou pour simuler de la présentation) qui est de la responsabilité du contributeur.
</t>
  </si>
  <si>
    <t>10.2</t>
  </si>
  <si>
    <t>Dans chaque page web, le contenu visible porteur d’information reste-t-il présent lorsque les feuilles de styles sont désactivées ?</t>
  </si>
  <si>
    <t>Visibilité de l'icône, du texte, du bouton et du menu.</t>
  </si>
  <si>
    <t>10.3</t>
  </si>
  <si>
    <t>Dans chaque page web, l’information reste-t-elle compréhensible lorsque les feuilles de styles sont désactivées ?</t>
  </si>
  <si>
    <t>L'information reste compréhensible car chaque élément utilise un élément HTML approprié et l'ordre ne nuit pas à la compréhension du composant.</t>
  </si>
  <si>
    <t>10.4</t>
  </si>
  <si>
    <t>Dans chaque page web, le texte reste-t-il lisible lorsque la taille des caractères est augmentée jusqu’à 200%, au moins (hors cas particuliers) ?</t>
  </si>
  <si>
    <t>Testé sur le composant avec le texte d'origine</t>
  </si>
  <si>
    <t>10.5</t>
  </si>
  <si>
    <t>Dans chaque page web, les déclarations CSS de couleurs de fond d’élément et de police sont-elles correctement utilisées ?</t>
  </si>
  <si>
    <t>10.6</t>
  </si>
  <si>
    <t>Dans chaque page web, chaque lien dont la nature n’est pas évidente est-il visible par rapport au texte environnant ?</t>
  </si>
  <si>
    <t>10.7</t>
  </si>
  <si>
    <t>Dans chaque page web, pour chaque élément recevant le focus, la prise de focus est-elle visible ?</t>
  </si>
  <si>
    <t>Focus bouton ok (focus-visible)
Focus item ok (focus-visible)</t>
  </si>
  <si>
    <t>10.8</t>
  </si>
  <si>
    <t>Pour chaque page web, les contenus cachés ont-ils vocation à être ignorés par les technologies d’assistance ?</t>
  </si>
  <si>
    <t>10.9</t>
  </si>
  <si>
    <t>Dans chaque page web, l’information ne doit pas être donnée uniquement par la forme, taille ou position. Cette règle est-elle respectée ?</t>
  </si>
  <si>
    <t>10.10</t>
  </si>
  <si>
    <t>Dans chaque page web, l’information ne doit pas être donnée par la forme, taille ou position uniquement. Cette règle est-elle implémentée de façon pertinente ?</t>
  </si>
  <si>
    <t>L'icône ne donne pas l'information selon laquelle le menu est ouvert ou fermé. Il indique juste que le bouton active un menu. Cette information est de toute façon également donnée par les attributs aria-haspopup, aria-controls et aria-expanded.</t>
  </si>
  <si>
    <t>10.11</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</si>
  <si>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</si>
  <si>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Testé avec un texte de 317 caractères sur 256px et 320px =&gt;aucun troncage de texte
Testé avec un texte de 424 caractères sur 320px =&gt; le composant ne  le défilement afin de permettre la visualisuation complète du contenu.</t>
  </si>
  <si>
    <t>10.12</t>
  </si>
  <si>
    <t>Dans chaque page web, les propriétés d’espacement du texte peuvent-elles être redéfinies par l’utilisateur sans perte de contenu ou de fonctionnalité (hors cas particuliers) ?</t>
  </si>
  <si>
    <t>Testé avec Assistant RGAA :
body {
line-height: 1.5 !important;
letter-spacing: 0.12em !important;
 word-spacing: 0.16em !important;
}
p { margin-bottom: 2em !important; }</t>
  </si>
  <si>
    <t>10.13</t>
  </si>
  <si>
    <t>Dans chaque page web, les contenus additionnels apparaissant à la prise de focus ou au survol d’un composant d’interface sont-ils contrôlables par l’utilisateur (hors cas particuliers) ?</t>
  </si>
  <si>
    <t>Le menu n'est pas "focusable" tant que le bouton n'a pas été activé (menu non présent dans le DOM puis présence avec un tabindex="0"). Le menu peut bien être fermé par la touche Echap et reste visible tant que le composant déclencheur ou le menu sont actifs.</t>
  </si>
  <si>
    <t>10.14</t>
  </si>
  <si>
    <t>Dans chaque page web, les contenus additionnels apparaissant via les styles CSS uniquement peuvent-ils être rendus visibles au clavier et par tout dispositif de pointage ?</t>
  </si>
  <si>
    <t>FORMULAIRES</t>
  </si>
  <si>
    <t>11.1</t>
  </si>
  <si>
    <t>Chaque champ de formulaire a-t-il une étiquette ?</t>
  </si>
  <si>
    <t>11.2</t>
  </si>
  <si>
    <t>Chaque étiquette associée à un champ de formulaire est-elle pertinente (hors cas particuliers) ?</t>
  </si>
  <si>
    <t>11.3</t>
  </si>
  <si>
    <t>Dans chaque formulaire, chaque étiquette associée à un champ de formulaire ayant la même fonction et répété plusieurs fois dans une même page ou dans un ensemble de pages est-elle cohérente ?</t>
  </si>
  <si>
    <t>11.4</t>
  </si>
  <si>
    <t>Dans chaque formulaire, chaque étiquette de champ et son champ associé sont-ils accolés (hors cas particuliers) ?</t>
  </si>
  <si>
    <t>11.5</t>
  </si>
  <si>
    <t>Dans chaque formulaire, les champs de même nature sont-ils regroupés, si nécessaire ?</t>
  </si>
  <si>
    <t>11.6</t>
  </si>
  <si>
    <t>Dans chaque formulaire, chaque regroupement de champs de même nature a-t-il une légende ?</t>
  </si>
  <si>
    <t>11.7</t>
  </si>
  <si>
    <t>Dans chaque formulaire, chaque légende associée à un regroupement de champs de même nature est-elle pertinente ?</t>
  </si>
  <si>
    <t>11.8</t>
  </si>
  <si>
    <t>Dans chaque formulaire, les items de même nature d’une liste de choix sont-ils regroupées de manière pertinente ?</t>
  </si>
  <si>
    <t>11.9</t>
  </si>
  <si>
    <t>Dans chaque formulaire, l’intitulé de chaque bouton est-il pertinent (hors cas particuliers) ?</t>
  </si>
  <si>
    <t>11.10</t>
  </si>
  <si>
    <t>Dans chaque formulaire, le contrôle de saisie est-il utilisé de manière pertinente (hors cas particuliers) ?</t>
  </si>
  <si>
    <t>11.11</t>
  </si>
  <si>
    <t>Dans chaque formulaire, le contrôle de saisie est-il accompagné, si nécessaire, de suggestions facilitant la correction des erreurs de saisie ?</t>
  </si>
  <si>
    <t>11.12</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</si>
  <si>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</si>
  <si>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11.13</t>
  </si>
  <si>
    <t>La finalité d’un champ de saisie peut-elle être déduite pour faciliter le remplissage automatique des champs avec les données de l’utilisateur ?</t>
  </si>
  <si>
    <t>NAVIGATION</t>
  </si>
  <si>
    <t>12.1</t>
  </si>
  <si>
    <t>Chaque ensemble de pages dispose-t-il de deux systèmes de navigation différents, au moins (hors cas particuliers) ?</t>
  </si>
  <si>
    <t>12.2</t>
  </si>
  <si>
    <t>Dans chaque ensemble de pages, le menu et les barres de navigation sont-ils toujours à la même place (hors cas particuliers) ?</t>
  </si>
  <si>
    <t>12.3</t>
  </si>
  <si>
    <t>La page « plan du site » est-elle pertinente ?</t>
  </si>
  <si>
    <t>12.4</t>
  </si>
  <si>
    <t>Dans chaque ensemble de pages, la page « plan du site » est-elle atteignable de manière identique ?</t>
  </si>
  <si>
    <t>12.5</t>
  </si>
  <si>
    <t>Dans chaque ensemble de pages, le moteur de recherche est-il atteignable de manière identique ?</t>
  </si>
  <si>
    <t>12.6</t>
  </si>
  <si>
    <t>Les zones de regroupement de contenus présentes dans plusieurs pages web (zones d’en-tête, de navigation principale, de contenu principal, de pied de page et de moteur de recherche) peuvent-elles être atteintes ou évitées ?</t>
  </si>
  <si>
    <t>12.7</t>
  </si>
  <si>
    <t>Dans chaque page web, un lien d’évitement ou d’accès rapide à la zone de contenu principal est-il présent (hors cas particuliers) ?</t>
  </si>
  <si>
    <t>12.8</t>
  </si>
  <si>
    <t>Dans chaque page web, l’ordre de tabulation est-il cohérent ?</t>
  </si>
  <si>
    <t>12.9</t>
  </si>
  <si>
    <t>Dans chaque page web, la navigation ne doit pas contenir de piège au clavier. Cette règle est-elle respectée ?</t>
  </si>
  <si>
    <t>Il est possible de naviguer dans chacun des items en faisant Flèche Haut ou Bas et de sortir en faisant Echap.</t>
  </si>
  <si>
    <t>12.10</t>
  </si>
  <si>
    <t>Dans chaque page web, les raccourcis clavier n’utilisant qu’une seule touche (lettre minuscule ou majuscule, ponctuation, chiffre ou symbole) sont-ils contrôlables par l’utilisateur ?</t>
  </si>
  <si>
    <t>12.11</t>
  </si>
  <si>
    <t>Dans chaque page web, les contenus additionnels apparaissant au survol, à la prise de focus ou à l’activation d’un composant d’interface sont-ils si nécessaire atteignables au clavier ?</t>
  </si>
  <si>
    <t>Apparaît en cliquant sur Entrée ou Espace lorsque l'utilisateur a le focus sur le bouton déclencheur.</t>
  </si>
  <si>
    <t>CONSULTATION</t>
  </si>
  <si>
    <t>13.1</t>
  </si>
  <si>
    <t>Pour chaque page web, l’utilisateur a-t-il le contrôle de chaque limite de temps modifiant le contenu (hors cas particuliers) ?</t>
  </si>
  <si>
    <t>13.2</t>
  </si>
  <si>
    <t>Dans chaque page web, l’ouverture d’une nouvelle fenêtre ne doit pas être déclenchée sans action de l’utilisateur. Cette règle est-elle respectée ?</t>
  </si>
  <si>
    <t>13.3</t>
  </si>
  <si>
    <t>Dans chaque page web, chaque document bureautique en téléchargement possède-t-il, si nécessaire, une version accessible (hors cas particuliers) ?</t>
  </si>
  <si>
    <t>13.4</t>
  </si>
  <si>
    <t>Pour chaque document bureautique ayant une version accessible, cette version offre-t-elle la même information ?</t>
  </si>
  <si>
    <t>13.5</t>
  </si>
  <si>
    <t>Dans chaque page web, chaque contenu cryptique (art ASCII, émoticon, syntaxe cryptique) a-t-il une alternative ?</t>
  </si>
  <si>
    <t>13.6</t>
  </si>
  <si>
    <t>Dans chaque page web, pour chaque contenu cryptique (art ASCII, émoticon, syntaxe cryptique) ayant une alternative, cette alternative est-elle pertinente ?</t>
  </si>
  <si>
    <t>13.7</t>
  </si>
  <si>
    <t>Dans chaque page web, les changements brusques de luminosité ou les effets de flash sont-ils correctement utilisés ?</t>
  </si>
  <si>
    <t>13.8</t>
  </si>
  <si>
    <t>Dans chaque page web, chaque contenu en mouvement ou clignotant est-il contrôlable par l’utilisateur ?</t>
  </si>
  <si>
    <t>13.9</t>
  </si>
  <si>
    <t>Dans chaque page web, le contenu proposé est-il consultable quelle que soit l’orientation de l’écran (portait ou paysage) (hors cas particuliers) ?</t>
  </si>
  <si>
    <t>13.10</t>
  </si>
  <si>
    <t>Dans chaque page web, les fonctionnalités utilisables ou disponibles au moyen d’un geste complexe peuvent-elles être également disponibles au moyen d’un geste simple (hors cas particuliers) ?</t>
  </si>
  <si>
    <t>13.11</t>
  </si>
  <si>
    <t>Dans chaque page web, les actions déclenchées au moyen d’un dispositif de pointage sur un point unique de l’écran peuvent-elles faire l’objet d’une annulation (hors cas particuliers) ?</t>
  </si>
  <si>
    <t>13.12</t>
  </si>
  <si>
    <t>Dans chaque page web, les fonctionnalités qui impliquent un mouvement de l’appareil ou vers l’appareil peuvent-elles être satisfaites de manière alternative (hors cas particuliers) ?</t>
  </si>
  <si>
    <t>Spécificité</t>
  </si>
  <si>
    <t>Source technique</t>
  </si>
  <si>
    <t>Composant de type "Menu button" (Attention, n'est pas un élément de formulaire / Ne sert qu'à modifier la langue de la page).
Lorsque l'on appuie sur la touche "Entrée", "Espace" ou "Flèche Bas", cela ouvre le menu et place le focus sur le premier élément du menu.
La fermeture du menu peut se faire en pressant "Entrée" ou "Echap". Dans ce cas, le focus est redirigé vers le bouton déclencheur.
On peut naviguer dans les items en utilisants les touches "Flèche Haut", "Flèche Bas", "Home", "End" ou, optionnellement, un caractère afin d'accéder à l'item suivant qui possède en première lettre le caractère tappé.
Si "Flèche Bas" sur le dernier item, le focus est déplacé sur le premier.
Si "Flèche Haut" sur le premier item, le focus est déplacé sur le dernier.</t>
  </si>
  <si>
    <t>- https://www.w3.org/WAI/ARIA/apg/patterns/menu-button/</t>
  </si>
  <si>
    <t>Le bouton déclencheur qui ouvre le menu doit être un élément button (ou rôle button) et possèder les attributs suivants :
- aria-haspopup = "true"
- aria-controls qui fait référence à l'élément HTML avec le rôle menu</t>
  </si>
  <si>
    <t>Lorsque le menu est affiché, il faut un aria-expanded="true" sur l'élément HTML button (false lorsqu'il est fermé)</t>
  </si>
  <si>
    <t>Le menu doit avoir :
- le nom accessibe du bouton déclencheur
- le focus (tabindex="-1" si présent dans le DOM, tabindex="0" si non présent accepté)
- l'attribut aria-activedescendant afin de connaître l'item selectionné
- le rôle menu
- le rôle menu-item pour ses items (descendants directs)</t>
  </si>
  <si>
    <t>- https://www.w3.org/WAI/ARIA/apg/patterns/menu-button/examples/menu-button-actions-active-descendant/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</si>
</sst>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2"/>
      <color theme="1"/>
      <name val="Aptos Narrow"/>
      <family val="2"/>
      <scheme val="minor"/>
    </font>
    <font>
      <sz val="12"/>
      <color theme="1"/>
      <name val="Aptos Narrow"/>
      <family val="2"/>
      <scheme val="minor"/>
    </font>
    <font>
      <b/>
      <sz val="12"/>
      <color rgb="FFFFFFFF"/>
      <name val="Aptos Narrow"/>
      <scheme val="minor"/>
    </font>
    <font>
      <sz val="12"/>
      <color theme="1"/>
      <name val="Aptos Narrow"/>
      <scheme val="minor"/>
    </font>
    <font>
      <b/>
      <sz val="12"/>
      <color rgb="FF000000"/>
      <name val="Aptos Narrow"/>
      <scheme val="minor"/>
    </font>
    <font>
      <sz val="12"/>
      <color rgb="FF000000"/>
      <name val="Aptos Narrow"/>
      <scheme val="minor"/>
    </font>
    <font>
      <sz val="14"/>
      <color theme="1"/>
      <name val="Aptos Narrow"/>
      <family val="2"/>
      <scheme val="minor"/>
    </font>
    <font>
      <b/>
      <sz val="14"/>
      <color theme="0"/>
      <name val="Aptos Narrow"/>
      <family val="2"/>
      <scheme val="minor"/>
    </font>
    <font>
      <sz val="12"/>
      <name val="Aptos Narrow"/>
      <scheme val="minor"/>
    </font>
    <font>
      <sz val="14"/>
      <name val="Aptos Narrow"/>
      <scheme val="minor"/>
    </font>
    <font>
      <sz val="14"/>
      <color theme="1"/>
      <name val="Aptos Narrow"/>
      <scheme val="minor"/>
    </font>
    <font>
      <sz val="12"/>
      <color theme="0"/>
      <name val="Aptos Narrow"/>
      <scheme val="minor"/>
    </font>
    <font>
      <sz val="12"/>
      <color rgb="FFFF0000"/>
      <name val="Aptos Narrow"/>
      <scheme val="minor"/>
    </font>
    <font>
      <b/>
      <sz val="14"/>
      <name val="Aptos Narrow"/>
      <scheme val="minor"/>
    </font>
    <font>
      <b/>
      <sz val="14"/>
      <color theme="1"/>
      <name val="Aptos Narrow"/>
      <scheme val="minor"/>
    </font>
    <font>
      <u/>
      <sz val="12"/>
      <color rgb="FF467886"/>
      <name val="Aptos Narrow"/>
      <family val="2"/>
      <scheme val="minor"/>
    </font>
  </fonts>
  <fills count="7">
    <fill>
      <patternFill patternType="none"/>
    </fill>
    <fill>
      <patternFill patternType="gray125"/>
    </fill>
    <fill>
      <patternFill patternType="solid">
        <fgColor theme="0"/>
        <bgColor indexed="64"/>
      </patternFill>
    </fill>
    <fill>
      <patternFill patternType="solid">
        <fgColor rgb="FF000091"/>
        <bgColor indexed="64"/>
      </patternFill>
    </fill>
    <fill>
      <patternFill patternType="solid">
        <fgColor rgb="FF000091"/>
        <bgColor rgb="FF2D77D0"/>
      </patternFill>
    </fill>
    <fill>
      <patternFill patternType="solid">
        <fgColor rgb="FF000091"/>
        <bgColor rgb="FFC81A71"/>
      </patternFill>
    </fill>
    <fill>
      <patternFill patternType="solid">
        <fgColor rgb="FFC6EFCE"/>
        <bgColor indexed="64"/>
      </patternFill>
    </fill>
  </fills>
  <borders count="12">
    <border>
      <left/>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1" fillId="0" borderId="0" applyFont="0" applyFill="0" applyBorder="0" applyAlignment="0" applyProtection="0"/>
  </cellStyleXfs>
  <cellXfs count="41">
    <xf numFmtId="0" fontId="0" fillId="0" borderId="0" xfId="0"/>
    <xf numFmtId="0" fontId="3" fillId="0" borderId="0" xfId="0" applyFont="1"/>
    <xf numFmtId="0" fontId="4" fillId="0" borderId="2" xfId="0" applyFont="1" applyBorder="1" applyAlignment="1">
      <alignment horizontal="center" vertical="center" wrapText="1"/>
    </xf>
    <xf numFmtId="0" fontId="5" fillId="0" borderId="2" xfId="0" applyFont="1" applyBorder="1" applyAlignment="1">
      <alignment horizontal="left" vertical="center" wrapText="1"/>
    </xf>
    <xf numFmtId="0" fontId="7" fillId="3" borderId="5" xfId="0" applyFont="1" applyFill="1" applyBorder="1"/>
    <xf numFmtId="0" fontId="6" fillId="2" borderId="6" xfId="0" applyFont="1" applyFill="1" applyBorder="1" applyAlignment="1">
      <alignment horizontal="left" vertical="top"/>
    </xf>
    <xf numFmtId="0" fontId="7" fillId="3" borderId="7" xfId="0" applyFont="1" applyFill="1" applyBorder="1"/>
    <xf numFmtId="0" fontId="7" fillId="3" borderId="8" xfId="0" applyFont="1" applyFill="1" applyBorder="1"/>
    <xf numFmtId="0" fontId="8" fillId="0" borderId="0" xfId="0" applyFont="1" applyAlignment="1">
      <alignment horizontal="center" vertical="center" wrapText="1"/>
    </xf>
    <xf numFmtId="0" fontId="3" fillId="0" borderId="5" xfId="0" applyFont="1" applyBorder="1" applyAlignment="1">
      <alignment horizontal="left" vertical="top"/>
    </xf>
    <xf numFmtId="14" fontId="10" fillId="0" borderId="5" xfId="0" applyNumberFormat="1" applyFont="1" applyBorder="1"/>
    <xf numFmtId="0" fontId="10" fillId="0" borderId="5" xfId="0" applyFont="1" applyBorder="1"/>
    <xf numFmtId="0" fontId="11" fillId="3" borderId="5" xfId="0" applyFont="1" applyFill="1" applyBorder="1"/>
    <xf numFmtId="0" fontId="3" fillId="0" borderId="5" xfId="0" applyFont="1" applyBorder="1" applyAlignment="1">
      <alignment horizontal="left" vertical="top" wrapText="1"/>
    </xf>
    <xf numFmtId="0" fontId="3" fillId="0" borderId="5" xfId="0" quotePrefix="1" applyFont="1" applyBorder="1" applyAlignment="1">
      <alignment horizontal="left" vertical="top" wrapText="1"/>
    </xf>
    <xf numFmtId="0" fontId="10" fillId="0" borderId="5" xfId="0" applyFont="1" applyBorder="1" applyAlignment="1">
      <alignment horizontal="right" vertical="top"/>
    </xf>
    <xf numFmtId="0" fontId="12" fillId="0" borderId="5" xfId="0" applyFont="1" applyBorder="1" applyAlignment="1">
      <alignment horizontal="left" vertical="top" wrapText="1"/>
    </xf>
    <xf numFmtId="9" fontId="14" fillId="0" borderId="5" xfId="1" applyFont="1" applyFill="1" applyBorder="1"/>
    <xf numFmtId="0" fontId="15" fillId="0" borderId="11" xfId="0" quotePrefix="1" applyFont="1" applyBorder="1" applyAlignment="1">
      <alignment horizontal="left" vertical="top" wrapText="1"/>
    </xf>
    <xf numFmtId="0" fontId="5" fillId="0" borderId="6" xfId="0" applyFont="1" applyBorder="1" applyAlignment="1">
      <alignment horizontal="left" vertical="top" wrapText="1"/>
    </xf>
    <xf numFmtId="0" fontId="5" fillId="0" borderId="10" xfId="0" applyFont="1" applyBorder="1" applyAlignment="1">
      <alignment horizontal="left" vertical="top" wrapText="1"/>
    </xf>
    <xf numFmtId="0" fontId="5" fillId="0" borderId="11" xfId="0" applyFont="1" applyBorder="1" applyAlignment="1">
      <alignment horizontal="left" vertical="top" wrapText="1"/>
    </xf>
    <xf numFmtId="0" fontId="3" fillId="0" borderId="5" xfId="0" applyFont="1" applyBorder="1" applyAlignment="1">
      <alignment horizontal="left" vertical="top" wrapText="1"/>
    </xf>
    <xf numFmtId="0" fontId="2" fillId="4" borderId="4" xfId="0" applyFont="1" applyFill="1" applyBorder="1" applyAlignment="1">
      <alignment horizontal="center" vertical="center" textRotation="90" wrapText="1"/>
    </xf>
    <xf numFmtId="0" fontId="2" fillId="4" borderId="1" xfId="0" applyFont="1" applyFill="1" applyBorder="1" applyAlignment="1">
      <alignment horizontal="center" vertical="center" textRotation="90" wrapText="1"/>
    </xf>
    <xf numFmtId="0" fontId="2" fillId="4" borderId="3" xfId="0" applyFont="1" applyFill="1" applyBorder="1" applyAlignment="1">
      <alignment horizontal="center" vertical="center" textRotation="90" wrapText="1"/>
    </xf>
    <xf numFmtId="0" fontId="11" fillId="3" borderId="5" xfId="0" applyFont="1" applyFill="1" applyBorder="1" applyAlignment="1">
      <alignment horizontal="left"/>
    </xf>
    <xf numFmtId="0" fontId="3" fillId="0" borderId="6" xfId="0" applyFont="1" applyBorder="1" applyAlignment="1">
      <alignment horizontal="left" vertical="top" wrapText="1"/>
    </xf>
    <xf numFmtId="0" fontId="3" fillId="0" borderId="10" xfId="0" applyFont="1" applyBorder="1" applyAlignment="1">
      <alignment horizontal="left" vertical="top" wrapText="1"/>
    </xf>
    <xf numFmtId="0" fontId="3" fillId="0" borderId="11" xfId="0" applyFont="1" applyBorder="1" applyAlignment="1">
      <alignment horizontal="left" vertical="top" wrapText="1"/>
    </xf>
    <xf numFmtId="0" fontId="9" fillId="0" borderId="5" xfId="0" applyFont="1" applyBorder="1" applyAlignment="1">
      <alignment horizontal="left" vertical="top" wrapText="1"/>
    </xf>
    <xf numFmtId="0" fontId="13" fillId="0" borderId="6" xfId="0" applyFont="1" applyBorder="1" applyAlignment="1">
      <alignment horizontal="left" vertical="top" wrapText="1"/>
    </xf>
    <xf numFmtId="0" fontId="13" fillId="0" borderId="10" xfId="0" applyFont="1" applyBorder="1" applyAlignment="1">
      <alignment horizontal="left" vertical="top" wrapText="1"/>
    </xf>
    <xf numFmtId="0" fontId="13" fillId="0" borderId="11" xfId="0" applyFont="1" applyBorder="1" applyAlignment="1">
      <alignment horizontal="left" vertical="top" wrapText="1"/>
    </xf>
    <xf numFmtId="0" fontId="2" fillId="4" borderId="9" xfId="0" applyFont="1" applyFill="1" applyBorder="1" applyAlignment="1">
      <alignment horizontal="center" vertical="center" textRotation="90" wrapText="1"/>
    </xf>
    <xf numFmtId="0" fontId="2" fillId="5" borderId="0" xfId="0" applyFont="1" applyFill="1" applyAlignment="1">
      <alignment horizontal="center" vertical="center" wrapText="1"/>
    </xf>
    <xf numFmtId="0" fontId="9" fillId="0" borderId="6" xfId="0" applyFont="1" applyBorder="1" applyAlignment="1">
      <alignment horizontal="left" vertical="top" wrapText="1"/>
    </xf>
    <xf numFmtId="0" fontId="9" fillId="0" borderId="10" xfId="0" applyFont="1" applyBorder="1" applyAlignment="1">
      <alignment horizontal="left" vertical="top" wrapText="1"/>
    </xf>
    <xf numFmtId="0" fontId="9" fillId="0" borderId="11" xfId="0" applyFont="1" applyBorder="1" applyAlignment="1">
      <alignment horizontal="left" vertical="top" wrapText="1"/>
    </xf>
    <xf numFmtId="9" fontId="3" fillId="0" borderId="0" xfId="0" applyNumberFormat="1" applyFont="1"/>
    <xf numFmtId="0" fontId="3" fillId="6" borderId="5" xfId="0" applyFont="1" applyFill="1" applyBorder="1" applyAlignment="1">
      <alignment horizontal="left" vertical="top"/>
    </xf>
  </cellXfs>
  <cellStyles count="2">
    <cellStyle name="Normal" xfId="0" builtinId="0"/>
    <cellStyle name="Pourcentage" xfId="1" builtinId="5"/>
  </cellStyles>
  <dxfs count="3">
    <dxf>
      <font>
        <color rgb="FF006100"/>
      </font>
      <fill>
        <patternFill>
          <bgColor rgb="FFC6EFCE"/>
        </patternFill>
      </fill>
    </dxf>
    <dxf>
      <font>
        <color theme="8" tint="-0.24994659260841701"/>
      </font>
      <fill>
        <patternFill>
          <bgColor theme="8" tint="0.79998168889431442"/>
        </patternFill>
      </fill>
    </dxf>
    <dxf>
      <font>
        <color rgb="FF9C0006"/>
      </font>
      <fill>
        <patternFill>
          <bgColor rgb="FFFFC7CE"/>
        </patternFill>
      </fill>
    </dxf>
  </dxfs>
  <tableStyles count="0" defaultTableStyle="TableStyleMedium2" defaultPivotStyle="PivotStyleLight16"/>
  <colors>
    <mruColors>
      <color rgb="FFC6EFCE"/>
      <color rgb="FF0000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26"/>
  <sheetViews>
    <sheetView tabSelected="1" topLeftCell="E19" zoomScaleNormal="100" workbookViewId="0">
      <selection activeCell="F15" sqref="F15"/>
    </sheetView>
  </sheetViews>
  <sheetFormatPr defaultColWidth="10.875" defaultRowHeight="15.95"/>
  <cols>
    <col min="1" max="1" width="15" style="1" customWidth="1"/>
    <col min="2" max="2" width="10.375" style="1" bestFit="1" customWidth="1"/>
    <col min="3" max="3" width="59.875" style="1" customWidth="1"/>
    <col min="4" max="4" width="15.125" style="1" bestFit="1" customWidth="1"/>
    <col min="5" max="5" width="106.625" style="1" customWidth="1"/>
    <col min="6" max="6" width="29" style="1" bestFit="1" customWidth="1"/>
    <col min="7" max="16384" width="10.875" style="1"/>
  </cols>
  <sheetData>
    <row r="1" spans="1:6" ht="32.1" customHeight="1">
      <c r="A1" s="35" t="s">
        <v>0</v>
      </c>
      <c r="B1" s="35"/>
      <c r="C1" s="35"/>
      <c r="D1" s="35"/>
    </row>
    <row r="2" spans="1:6">
      <c r="A2" s="8"/>
      <c r="B2" s="8"/>
      <c r="C2" s="8"/>
      <c r="D2" s="1" t="s">
        <v>1</v>
      </c>
      <c r="E2" s="1" t="s">
        <v>2</v>
      </c>
    </row>
    <row r="3" spans="1:6" ht="18.95">
      <c r="A3" s="30" t="s">
        <v>3</v>
      </c>
      <c r="B3" s="30"/>
      <c r="C3" s="30"/>
      <c r="D3" s="10">
        <v>45729</v>
      </c>
      <c r="E3" s="1" t="s">
        <v>4</v>
      </c>
    </row>
    <row r="4" spans="1:6" ht="18.95">
      <c r="A4" s="36" t="s">
        <v>5</v>
      </c>
      <c r="B4" s="37"/>
      <c r="C4" s="38"/>
      <c r="D4" s="15" t="s">
        <v>6</v>
      </c>
      <c r="E4" s="1" t="s">
        <v>7</v>
      </c>
    </row>
    <row r="5" spans="1:6" ht="15.95" customHeight="1">
      <c r="A5" s="30" t="s">
        <v>8</v>
      </c>
      <c r="B5" s="30"/>
      <c r="C5" s="30"/>
      <c r="D5" s="11">
        <f xml:space="preserve"> COUNTIF($D$14:$D$119,"Conforme")</f>
        <v>11</v>
      </c>
      <c r="E5" s="1">
        <v>17</v>
      </c>
    </row>
    <row r="6" spans="1:6" ht="18.95" customHeight="1">
      <c r="A6" s="30" t="s">
        <v>9</v>
      </c>
      <c r="B6" s="30"/>
      <c r="C6" s="30"/>
      <c r="D6" s="11">
        <f xml:space="preserve"> COUNTIF($D$14:$D$119,"Non conforme")</f>
        <v>6</v>
      </c>
      <c r="E6" s="1">
        <v>0</v>
      </c>
    </row>
    <row r="7" spans="1:6" ht="18.95" customHeight="1">
      <c r="A7" s="30" t="s">
        <v>10</v>
      </c>
      <c r="B7" s="30"/>
      <c r="C7" s="30"/>
      <c r="D7" s="11">
        <f xml:space="preserve"> COUNTIF($D$14:$D$119,"Non applicable")</f>
        <v>89</v>
      </c>
      <c r="E7" s="1">
        <v>89</v>
      </c>
    </row>
    <row r="8" spans="1:6" ht="18.95" customHeight="1">
      <c r="A8" s="30" t="s">
        <v>11</v>
      </c>
      <c r="B8" s="30"/>
      <c r="C8" s="30"/>
      <c r="D8" s="11">
        <f xml:space="preserve"> COUNTIF($D$14:$D$119,"Dérogé")</f>
        <v>0</v>
      </c>
      <c r="E8" s="1">
        <v>0</v>
      </c>
    </row>
    <row r="9" spans="1:6" ht="18.95" customHeight="1">
      <c r="A9" s="30" t="s">
        <v>12</v>
      </c>
      <c r="B9" s="30"/>
      <c r="C9" s="30"/>
      <c r="D9" s="11">
        <f xml:space="preserve"> COUNTIF($D$14:$D$119,"Non testé")</f>
        <v>0</v>
      </c>
      <c r="E9" s="1">
        <v>0</v>
      </c>
    </row>
    <row r="10" spans="1:6" ht="18.95" customHeight="1">
      <c r="A10" s="31" t="s">
        <v>13</v>
      </c>
      <c r="B10" s="32"/>
      <c r="C10" s="33"/>
      <c r="D10" s="17">
        <f>IF(SUM(D5:D6)&gt;0,D5/SUM(D5:D6),"")</f>
        <v>0.6470588235294118</v>
      </c>
      <c r="E10" s="39">
        <v>1</v>
      </c>
    </row>
    <row r="11" spans="1:6" ht="18.95" customHeight="1">
      <c r="A11" s="31" t="s">
        <v>14</v>
      </c>
      <c r="B11" s="32"/>
      <c r="C11" s="33"/>
      <c r="D11" s="17">
        <f>IF(SUM(D5:D6)&gt;0,1-ROUND(D10,2),"")</f>
        <v>0.35</v>
      </c>
      <c r="E11" s="39">
        <v>1</v>
      </c>
    </row>
    <row r="12" spans="1:6">
      <c r="A12" s="8"/>
      <c r="B12" s="8"/>
      <c r="C12" s="8"/>
    </row>
    <row r="13" spans="1:6" ht="18.95">
      <c r="A13" s="4" t="s">
        <v>15</v>
      </c>
      <c r="B13" s="4" t="s">
        <v>16</v>
      </c>
      <c r="C13" s="4" t="s">
        <v>17</v>
      </c>
      <c r="D13" s="4" t="s">
        <v>18</v>
      </c>
      <c r="E13" s="6" t="s">
        <v>19</v>
      </c>
      <c r="F13" s="7" t="s">
        <v>20</v>
      </c>
    </row>
    <row r="14" spans="1:6" ht="33.950000000000003">
      <c r="A14" s="34" t="s">
        <v>21</v>
      </c>
      <c r="B14" s="2" t="s">
        <v>22</v>
      </c>
      <c r="C14" s="3" t="s">
        <v>23</v>
      </c>
      <c r="D14" s="5" t="s">
        <v>24</v>
      </c>
      <c r="E14" s="13"/>
      <c r="F14" s="9"/>
    </row>
    <row r="15" spans="1:6" ht="33.950000000000003">
      <c r="A15" s="25"/>
      <c r="B15" s="2" t="s">
        <v>25</v>
      </c>
      <c r="C15" s="3" t="s">
        <v>26</v>
      </c>
      <c r="D15" s="5" t="s">
        <v>27</v>
      </c>
      <c r="E15" s="16" t="s">
        <v>28</v>
      </c>
      <c r="F15" s="9"/>
    </row>
    <row r="16" spans="1:6" ht="33.950000000000003">
      <c r="A16" s="25"/>
      <c r="B16" s="2" t="s">
        <v>29</v>
      </c>
      <c r="C16" s="3" t="s">
        <v>30</v>
      </c>
      <c r="D16" s="5" t="s">
        <v>24</v>
      </c>
      <c r="E16" s="13"/>
      <c r="F16" s="9"/>
    </row>
    <row r="17" spans="1:6" ht="51">
      <c r="A17" s="25"/>
      <c r="B17" s="2" t="s">
        <v>31</v>
      </c>
      <c r="C17" s="3" t="s">
        <v>32</v>
      </c>
      <c r="D17" s="5" t="s">
        <v>24</v>
      </c>
      <c r="E17" s="13"/>
      <c r="F17" s="9"/>
    </row>
    <row r="18" spans="1:6" ht="33.950000000000003">
      <c r="A18" s="25"/>
      <c r="B18" s="2" t="s">
        <v>33</v>
      </c>
      <c r="C18" s="3" t="s">
        <v>34</v>
      </c>
      <c r="D18" s="5" t="s">
        <v>24</v>
      </c>
      <c r="E18" s="13"/>
      <c r="F18" s="9"/>
    </row>
    <row r="19" spans="1:6" ht="33.950000000000003">
      <c r="A19" s="25"/>
      <c r="B19" s="2" t="s">
        <v>35</v>
      </c>
      <c r="C19" s="3" t="s">
        <v>36</v>
      </c>
      <c r="D19" s="5" t="s">
        <v>24</v>
      </c>
      <c r="E19" s="13"/>
      <c r="F19" s="9"/>
    </row>
    <row r="20" spans="1:6" ht="33.950000000000003">
      <c r="A20" s="25"/>
      <c r="B20" s="2" t="s">
        <v>37</v>
      </c>
      <c r="C20" s="3" t="s">
        <v>38</v>
      </c>
      <c r="D20" s="5" t="s">
        <v>24</v>
      </c>
      <c r="E20" s="13"/>
      <c r="F20" s="9"/>
    </row>
    <row r="21" spans="1:6" ht="51">
      <c r="A21" s="25"/>
      <c r="B21" s="2" t="s">
        <v>39</v>
      </c>
      <c r="C21" s="3" t="s">
        <v>40</v>
      </c>
      <c r="D21" s="5" t="s">
        <v>24</v>
      </c>
      <c r="E21" s="13"/>
      <c r="F21" s="9"/>
    </row>
    <row r="22" spans="1:6" ht="33.950000000000003">
      <c r="A22" s="24"/>
      <c r="B22" s="2" t="s">
        <v>41</v>
      </c>
      <c r="C22" s="3" t="s">
        <v>42</v>
      </c>
      <c r="D22" s="5" t="s">
        <v>24</v>
      </c>
      <c r="E22" s="13"/>
      <c r="F22" s="9"/>
    </row>
    <row r="23" spans="1:6" ht="18.95">
      <c r="A23" s="23" t="s">
        <v>43</v>
      </c>
      <c r="B23" s="2" t="s">
        <v>44</v>
      </c>
      <c r="C23" s="3" t="s">
        <v>45</v>
      </c>
      <c r="D23" s="5" t="s">
        <v>24</v>
      </c>
      <c r="E23" s="13"/>
      <c r="F23" s="9"/>
    </row>
    <row r="24" spans="1:6" ht="33.950000000000003">
      <c r="A24" s="24"/>
      <c r="B24" s="2" t="s">
        <v>46</v>
      </c>
      <c r="C24" s="3" t="s">
        <v>47</v>
      </c>
      <c r="D24" s="5" t="s">
        <v>24</v>
      </c>
      <c r="E24" s="13"/>
      <c r="F24" s="9"/>
    </row>
    <row r="25" spans="1:6" ht="33.950000000000003">
      <c r="A25" s="23" t="s">
        <v>48</v>
      </c>
      <c r="B25" s="2" t="s">
        <v>49</v>
      </c>
      <c r="C25" s="3" t="s">
        <v>50</v>
      </c>
      <c r="D25" s="5" t="s">
        <v>24</v>
      </c>
      <c r="E25" s="13"/>
      <c r="F25" s="9"/>
    </row>
    <row r="26" spans="1:6" ht="408.95" customHeight="1">
      <c r="A26" s="25"/>
      <c r="B26" s="2" t="s">
        <v>51</v>
      </c>
      <c r="C26" s="3" t="s">
        <v>52</v>
      </c>
      <c r="D26" s="5" t="s">
        <v>53</v>
      </c>
      <c r="E26" s="13" t="s">
        <v>54</v>
      </c>
      <c r="F26" s="40" t="s">
        <v>55</v>
      </c>
    </row>
    <row r="27" spans="1:6" ht="409.6">
      <c r="A27" s="24"/>
      <c r="B27" s="2" t="s">
        <v>56</v>
      </c>
      <c r="C27" s="3" t="s">
        <v>57</v>
      </c>
      <c r="D27" s="5" t="s">
        <v>53</v>
      </c>
      <c r="E27" s="13" t="s">
        <v>58</v>
      </c>
      <c r="F27" s="40" t="s">
        <v>55</v>
      </c>
    </row>
    <row r="28" spans="1:6" ht="33.950000000000003">
      <c r="A28" s="23" t="s">
        <v>59</v>
      </c>
      <c r="B28" s="2" t="s">
        <v>60</v>
      </c>
      <c r="C28" s="3" t="s">
        <v>61</v>
      </c>
      <c r="D28" s="5" t="s">
        <v>24</v>
      </c>
      <c r="E28" s="13"/>
      <c r="F28" s="9"/>
    </row>
    <row r="29" spans="1:6" ht="51">
      <c r="A29" s="25"/>
      <c r="B29" s="2" t="s">
        <v>62</v>
      </c>
      <c r="C29" s="3" t="s">
        <v>63</v>
      </c>
      <c r="D29" s="5" t="s">
        <v>24</v>
      </c>
      <c r="E29" s="13"/>
      <c r="F29" s="9"/>
    </row>
    <row r="30" spans="1:6" ht="33.950000000000003">
      <c r="A30" s="25"/>
      <c r="B30" s="2" t="s">
        <v>64</v>
      </c>
      <c r="C30" s="3" t="s">
        <v>65</v>
      </c>
      <c r="D30" s="5" t="s">
        <v>24</v>
      </c>
      <c r="E30" s="13"/>
      <c r="F30" s="9"/>
    </row>
    <row r="31" spans="1:6" ht="33.950000000000003">
      <c r="A31" s="25"/>
      <c r="B31" s="2" t="s">
        <v>66</v>
      </c>
      <c r="C31" s="3" t="s">
        <v>67</v>
      </c>
      <c r="D31" s="5" t="s">
        <v>24</v>
      </c>
      <c r="E31" s="13"/>
      <c r="F31" s="9"/>
    </row>
    <row r="32" spans="1:6" ht="33.950000000000003">
      <c r="A32" s="25"/>
      <c r="B32" s="2" t="s">
        <v>68</v>
      </c>
      <c r="C32" s="3" t="s">
        <v>69</v>
      </c>
      <c r="D32" s="5" t="s">
        <v>24</v>
      </c>
      <c r="E32" s="13"/>
      <c r="F32" s="9"/>
    </row>
    <row r="33" spans="1:6" ht="33.950000000000003">
      <c r="A33" s="25"/>
      <c r="B33" s="2" t="s">
        <v>70</v>
      </c>
      <c r="C33" s="3" t="s">
        <v>71</v>
      </c>
      <c r="D33" s="5" t="s">
        <v>24</v>
      </c>
      <c r="E33" s="13"/>
      <c r="F33" s="9"/>
    </row>
    <row r="34" spans="1:6" ht="33.950000000000003">
      <c r="A34" s="25"/>
      <c r="B34" s="2" t="s">
        <v>72</v>
      </c>
      <c r="C34" s="3" t="s">
        <v>73</v>
      </c>
      <c r="D34" s="5" t="s">
        <v>24</v>
      </c>
      <c r="E34" s="13"/>
      <c r="F34" s="9"/>
    </row>
    <row r="35" spans="1:6" ht="33.950000000000003">
      <c r="A35" s="25"/>
      <c r="B35" s="2" t="s">
        <v>74</v>
      </c>
      <c r="C35" s="3" t="s">
        <v>75</v>
      </c>
      <c r="D35" s="5" t="s">
        <v>24</v>
      </c>
      <c r="E35" s="13"/>
      <c r="F35" s="9"/>
    </row>
    <row r="36" spans="1:6" ht="33.950000000000003">
      <c r="A36" s="25"/>
      <c r="B36" s="2" t="s">
        <v>76</v>
      </c>
      <c r="C36" s="3" t="s">
        <v>77</v>
      </c>
      <c r="D36" s="5" t="s">
        <v>24</v>
      </c>
      <c r="E36" s="13"/>
      <c r="F36" s="9"/>
    </row>
    <row r="37" spans="1:6" ht="33.950000000000003">
      <c r="A37" s="25"/>
      <c r="B37" s="2" t="s">
        <v>78</v>
      </c>
      <c r="C37" s="3" t="s">
        <v>79</v>
      </c>
      <c r="D37" s="5" t="s">
        <v>24</v>
      </c>
      <c r="E37" s="13"/>
      <c r="F37" s="9"/>
    </row>
    <row r="38" spans="1:6" ht="33.950000000000003">
      <c r="A38" s="25"/>
      <c r="B38" s="2" t="s">
        <v>80</v>
      </c>
      <c r="C38" s="3" t="s">
        <v>81</v>
      </c>
      <c r="D38" s="5" t="s">
        <v>24</v>
      </c>
      <c r="E38" s="13"/>
      <c r="F38" s="9"/>
    </row>
    <row r="39" spans="1:6" ht="33.950000000000003">
      <c r="A39" s="25"/>
      <c r="B39" s="2" t="s">
        <v>82</v>
      </c>
      <c r="C39" s="3" t="s">
        <v>83</v>
      </c>
      <c r="D39" s="5" t="s">
        <v>24</v>
      </c>
      <c r="E39" s="13"/>
      <c r="F39" s="9"/>
    </row>
    <row r="40" spans="1:6" ht="33.950000000000003">
      <c r="A40" s="24"/>
      <c r="B40" s="2" t="s">
        <v>84</v>
      </c>
      <c r="C40" s="3" t="s">
        <v>85</v>
      </c>
      <c r="D40" s="5" t="s">
        <v>24</v>
      </c>
      <c r="E40" s="13"/>
      <c r="F40" s="9"/>
    </row>
    <row r="41" spans="1:6" ht="18.95">
      <c r="A41" s="23" t="s">
        <v>86</v>
      </c>
      <c r="B41" s="2" t="s">
        <v>87</v>
      </c>
      <c r="C41" s="3" t="s">
        <v>88</v>
      </c>
      <c r="D41" s="5" t="s">
        <v>24</v>
      </c>
      <c r="E41" s="13"/>
      <c r="F41" s="9"/>
    </row>
    <row r="42" spans="1:6" ht="33.950000000000003">
      <c r="A42" s="25"/>
      <c r="B42" s="2" t="s">
        <v>89</v>
      </c>
      <c r="C42" s="3" t="s">
        <v>90</v>
      </c>
      <c r="D42" s="5" t="s">
        <v>24</v>
      </c>
      <c r="E42" s="13"/>
      <c r="F42" s="9"/>
    </row>
    <row r="43" spans="1:6" ht="33.950000000000003">
      <c r="A43" s="25"/>
      <c r="B43" s="2" t="s">
        <v>91</v>
      </c>
      <c r="C43" s="3" t="s">
        <v>92</v>
      </c>
      <c r="D43" s="5" t="s">
        <v>24</v>
      </c>
      <c r="E43" s="13"/>
      <c r="F43" s="9"/>
    </row>
    <row r="44" spans="1:6" ht="33.950000000000003">
      <c r="A44" s="25"/>
      <c r="B44" s="2" t="s">
        <v>93</v>
      </c>
      <c r="C44" s="3" t="s">
        <v>94</v>
      </c>
      <c r="D44" s="5" t="s">
        <v>24</v>
      </c>
      <c r="E44" s="13"/>
      <c r="F44" s="9"/>
    </row>
    <row r="45" spans="1:6" ht="33.950000000000003">
      <c r="A45" s="25"/>
      <c r="B45" s="2" t="s">
        <v>95</v>
      </c>
      <c r="C45" s="3" t="s">
        <v>96</v>
      </c>
      <c r="D45" s="5" t="s">
        <v>24</v>
      </c>
      <c r="E45" s="13"/>
      <c r="F45" s="9"/>
    </row>
    <row r="46" spans="1:6" ht="33.950000000000003">
      <c r="A46" s="25"/>
      <c r="B46" s="2" t="s">
        <v>97</v>
      </c>
      <c r="C46" s="3" t="s">
        <v>98</v>
      </c>
      <c r="D46" s="5" t="s">
        <v>24</v>
      </c>
      <c r="E46" s="13"/>
      <c r="F46" s="9"/>
    </row>
    <row r="47" spans="1:6" ht="51">
      <c r="A47" s="25"/>
      <c r="B47" s="2" t="s">
        <v>99</v>
      </c>
      <c r="C47" s="3" t="s">
        <v>100</v>
      </c>
      <c r="D47" s="5" t="s">
        <v>24</v>
      </c>
      <c r="E47" s="13"/>
      <c r="F47" s="9"/>
    </row>
    <row r="48" spans="1:6" ht="33.950000000000003">
      <c r="A48" s="24"/>
      <c r="B48" s="2" t="s">
        <v>101</v>
      </c>
      <c r="C48" s="3" t="s">
        <v>102</v>
      </c>
      <c r="D48" s="5" t="s">
        <v>24</v>
      </c>
      <c r="E48" s="13"/>
      <c r="F48" s="9"/>
    </row>
    <row r="49" spans="1:6" ht="18.95">
      <c r="A49" s="23" t="s">
        <v>103</v>
      </c>
      <c r="B49" s="2" t="s">
        <v>104</v>
      </c>
      <c r="C49" s="3" t="s">
        <v>105</v>
      </c>
      <c r="D49" s="5" t="s">
        <v>24</v>
      </c>
      <c r="E49" s="13"/>
      <c r="F49" s="9"/>
    </row>
    <row r="50" spans="1:6" ht="18.95">
      <c r="A50" s="24"/>
      <c r="B50" s="2" t="s">
        <v>106</v>
      </c>
      <c r="C50" s="3" t="s">
        <v>107</v>
      </c>
      <c r="D50" s="5" t="s">
        <v>24</v>
      </c>
      <c r="E50" s="13"/>
      <c r="F50" s="9"/>
    </row>
    <row r="51" spans="1:6" ht="272.10000000000002">
      <c r="A51" s="23" t="s">
        <v>108</v>
      </c>
      <c r="B51" s="2" t="s">
        <v>109</v>
      </c>
      <c r="C51" s="3" t="s">
        <v>110</v>
      </c>
      <c r="D51" s="5" t="s">
        <v>53</v>
      </c>
      <c r="E51" s="13" t="s">
        <v>111</v>
      </c>
      <c r="F51" s="40" t="s">
        <v>55</v>
      </c>
    </row>
    <row r="52" spans="1:6" ht="33.950000000000003">
      <c r="A52" s="25"/>
      <c r="B52" s="2" t="s">
        <v>112</v>
      </c>
      <c r="C52" s="3" t="s">
        <v>113</v>
      </c>
      <c r="D52" s="5" t="s">
        <v>24</v>
      </c>
      <c r="E52" s="13"/>
      <c r="F52" s="9"/>
    </row>
    <row r="53" spans="1:6" ht="237.95">
      <c r="A53" s="25"/>
      <c r="B53" s="2" t="s">
        <v>114</v>
      </c>
      <c r="C53" s="3" t="s">
        <v>115</v>
      </c>
      <c r="D53" s="5" t="s">
        <v>53</v>
      </c>
      <c r="E53" s="13" t="s">
        <v>116</v>
      </c>
      <c r="F53" s="40" t="s">
        <v>55</v>
      </c>
    </row>
    <row r="54" spans="1:6" ht="33.950000000000003">
      <c r="A54" s="25"/>
      <c r="B54" s="2" t="s">
        <v>117</v>
      </c>
      <c r="C54" s="3" t="s">
        <v>118</v>
      </c>
      <c r="D54" s="5" t="s">
        <v>24</v>
      </c>
      <c r="E54" s="13"/>
      <c r="F54" s="9"/>
    </row>
    <row r="55" spans="1:6" ht="33.950000000000003">
      <c r="A55" s="24"/>
      <c r="B55" s="2" t="s">
        <v>119</v>
      </c>
      <c r="C55" s="3" t="s">
        <v>120</v>
      </c>
      <c r="D55" s="5" t="s">
        <v>24</v>
      </c>
      <c r="E55" s="13"/>
      <c r="F55" s="9"/>
    </row>
    <row r="56" spans="1:6" ht="18.95">
      <c r="A56" s="23" t="s">
        <v>121</v>
      </c>
      <c r="B56" s="2" t="s">
        <v>122</v>
      </c>
      <c r="C56" s="3" t="s">
        <v>123</v>
      </c>
      <c r="D56" s="5" t="s">
        <v>24</v>
      </c>
      <c r="E56" s="13"/>
      <c r="F56" s="9"/>
    </row>
    <row r="57" spans="1:6" ht="153">
      <c r="A57" s="25"/>
      <c r="B57" s="2" t="s">
        <v>124</v>
      </c>
      <c r="C57" s="3" t="s">
        <v>125</v>
      </c>
      <c r="D57" s="5" t="s">
        <v>53</v>
      </c>
      <c r="E57" s="13" t="s">
        <v>126</v>
      </c>
      <c r="F57" s="40" t="s">
        <v>55</v>
      </c>
    </row>
    <row r="58" spans="1:6" ht="18.95">
      <c r="A58" s="25"/>
      <c r="B58" s="2" t="s">
        <v>127</v>
      </c>
      <c r="C58" s="3" t="s">
        <v>128</v>
      </c>
      <c r="D58" s="5" t="s">
        <v>24</v>
      </c>
      <c r="E58" s="13"/>
      <c r="F58" s="9"/>
    </row>
    <row r="59" spans="1:6" ht="33.950000000000003">
      <c r="A59" s="25"/>
      <c r="B59" s="2" t="s">
        <v>129</v>
      </c>
      <c r="C59" s="3" t="s">
        <v>130</v>
      </c>
      <c r="D59" s="5" t="s">
        <v>24</v>
      </c>
      <c r="E59" s="13"/>
      <c r="F59" s="9"/>
    </row>
    <row r="60" spans="1:6" ht="18.95">
      <c r="A60" s="25"/>
      <c r="B60" s="2" t="s">
        <v>131</v>
      </c>
      <c r="C60" s="3" t="s">
        <v>132</v>
      </c>
      <c r="D60" s="5" t="s">
        <v>24</v>
      </c>
      <c r="E60" s="13"/>
      <c r="F60" s="9"/>
    </row>
    <row r="61" spans="1:6" ht="18.95">
      <c r="A61" s="25"/>
      <c r="B61" s="2" t="s">
        <v>133</v>
      </c>
      <c r="C61" s="3" t="s">
        <v>134</v>
      </c>
      <c r="D61" s="5" t="s">
        <v>24</v>
      </c>
      <c r="E61" s="13"/>
      <c r="F61" s="9"/>
    </row>
    <row r="62" spans="1:6" ht="33.950000000000003">
      <c r="A62" s="25"/>
      <c r="B62" s="2" t="s">
        <v>135</v>
      </c>
      <c r="C62" s="3" t="s">
        <v>136</v>
      </c>
      <c r="D62" s="5" t="s">
        <v>53</v>
      </c>
      <c r="E62" s="13" t="s">
        <v>137</v>
      </c>
      <c r="F62" s="40" t="s">
        <v>55</v>
      </c>
    </row>
    <row r="63" spans="1:6" ht="33.950000000000003">
      <c r="A63" s="25"/>
      <c r="B63" s="2" t="s">
        <v>138</v>
      </c>
      <c r="C63" s="3" t="s">
        <v>139</v>
      </c>
      <c r="D63" s="5" t="s">
        <v>24</v>
      </c>
      <c r="E63" s="13"/>
      <c r="F63" s="9"/>
    </row>
    <row r="64" spans="1:6" ht="33.950000000000003">
      <c r="A64" s="25"/>
      <c r="B64" s="2" t="s">
        <v>140</v>
      </c>
      <c r="C64" s="3" t="s">
        <v>141</v>
      </c>
      <c r="D64" s="5" t="s">
        <v>24</v>
      </c>
      <c r="E64" s="13"/>
      <c r="F64" s="9"/>
    </row>
    <row r="65" spans="1:6" ht="33.950000000000003">
      <c r="A65" s="24"/>
      <c r="B65" s="2" t="s">
        <v>142</v>
      </c>
      <c r="C65" s="3" t="s">
        <v>143</v>
      </c>
      <c r="D65" s="5" t="s">
        <v>24</v>
      </c>
      <c r="E65" s="13"/>
      <c r="F65" s="9"/>
    </row>
    <row r="66" spans="1:6" ht="33.950000000000003">
      <c r="A66" s="23" t="s">
        <v>144</v>
      </c>
      <c r="B66" s="2" t="s">
        <v>145</v>
      </c>
      <c r="C66" s="3" t="s">
        <v>146</v>
      </c>
      <c r="D66" s="5" t="s">
        <v>24</v>
      </c>
      <c r="E66" s="13"/>
      <c r="F66" s="9"/>
    </row>
    <row r="67" spans="1:6" ht="33.950000000000003">
      <c r="A67" s="25"/>
      <c r="B67" s="2" t="s">
        <v>147</v>
      </c>
      <c r="C67" s="3" t="s">
        <v>148</v>
      </c>
      <c r="D67" s="5" t="s">
        <v>24</v>
      </c>
      <c r="E67" s="13"/>
      <c r="F67" s="9"/>
    </row>
    <row r="68" spans="1:6" ht="18.95">
      <c r="A68" s="25"/>
      <c r="B68" s="2" t="s">
        <v>149</v>
      </c>
      <c r="C68" s="3" t="s">
        <v>150</v>
      </c>
      <c r="D68" s="5" t="s">
        <v>24</v>
      </c>
      <c r="E68" s="13"/>
      <c r="F68" s="9"/>
    </row>
    <row r="69" spans="1:6" ht="33.950000000000003">
      <c r="A69" s="24"/>
      <c r="B69" s="2" t="s">
        <v>151</v>
      </c>
      <c r="C69" s="3" t="s">
        <v>152</v>
      </c>
      <c r="D69" s="5" t="s">
        <v>24</v>
      </c>
      <c r="E69" s="13"/>
      <c r="F69" s="9"/>
    </row>
    <row r="70" spans="1:6" ht="68.099999999999994">
      <c r="A70" s="23" t="s">
        <v>153</v>
      </c>
      <c r="B70" s="2" t="s">
        <v>154</v>
      </c>
      <c r="C70" s="3" t="s">
        <v>155</v>
      </c>
      <c r="D70" s="5" t="s">
        <v>27</v>
      </c>
      <c r="E70" s="13" t="s">
        <v>156</v>
      </c>
      <c r="F70" s="9"/>
    </row>
    <row r="71" spans="1:6" ht="33.950000000000003">
      <c r="A71" s="25"/>
      <c r="B71" s="2" t="s">
        <v>157</v>
      </c>
      <c r="C71" s="3" t="s">
        <v>158</v>
      </c>
      <c r="D71" s="5" t="s">
        <v>27</v>
      </c>
      <c r="E71" s="13" t="s">
        <v>159</v>
      </c>
      <c r="F71" s="9"/>
    </row>
    <row r="72" spans="1:6" ht="33.950000000000003">
      <c r="A72" s="25"/>
      <c r="B72" s="2" t="s">
        <v>160</v>
      </c>
      <c r="C72" s="3" t="s">
        <v>161</v>
      </c>
      <c r="D72" s="5" t="s">
        <v>27</v>
      </c>
      <c r="E72" s="13" t="s">
        <v>162</v>
      </c>
      <c r="F72" s="9"/>
    </row>
    <row r="73" spans="1:6" ht="51">
      <c r="A73" s="25"/>
      <c r="B73" s="2" t="s">
        <v>163</v>
      </c>
      <c r="C73" s="3" t="s">
        <v>164</v>
      </c>
      <c r="D73" s="5" t="s">
        <v>27</v>
      </c>
      <c r="E73" s="13" t="s">
        <v>165</v>
      </c>
      <c r="F73" s="9"/>
    </row>
    <row r="74" spans="1:6" ht="33.950000000000003">
      <c r="A74" s="25"/>
      <c r="B74" s="2" t="s">
        <v>166</v>
      </c>
      <c r="C74" s="3" t="s">
        <v>167</v>
      </c>
      <c r="D74" s="5" t="s">
        <v>24</v>
      </c>
      <c r="E74" s="13"/>
      <c r="F74" s="9"/>
    </row>
    <row r="75" spans="1:6" ht="33.950000000000003">
      <c r="A75" s="25"/>
      <c r="B75" s="2" t="s">
        <v>168</v>
      </c>
      <c r="C75" s="3" t="s">
        <v>169</v>
      </c>
      <c r="D75" s="5" t="s">
        <v>24</v>
      </c>
      <c r="E75" s="13"/>
      <c r="F75" s="9"/>
    </row>
    <row r="76" spans="1:6" ht="33.950000000000003">
      <c r="A76" s="25"/>
      <c r="B76" s="2" t="s">
        <v>170</v>
      </c>
      <c r="C76" s="3" t="s">
        <v>171</v>
      </c>
      <c r="D76" s="5" t="s">
        <v>27</v>
      </c>
      <c r="E76" s="13" t="s">
        <v>172</v>
      </c>
      <c r="F76" s="9"/>
    </row>
    <row r="77" spans="1:6" ht="33.950000000000003">
      <c r="A77" s="25"/>
      <c r="B77" s="2" t="s">
        <v>173</v>
      </c>
      <c r="C77" s="3" t="s">
        <v>174</v>
      </c>
      <c r="D77" s="5" t="s">
        <v>24</v>
      </c>
      <c r="E77" s="13"/>
      <c r="F77" s="9"/>
    </row>
    <row r="78" spans="1:6" ht="51">
      <c r="A78" s="25"/>
      <c r="B78" s="2" t="s">
        <v>175</v>
      </c>
      <c r="C78" s="3" t="s">
        <v>176</v>
      </c>
      <c r="D78" s="5" t="s">
        <v>24</v>
      </c>
      <c r="E78" s="13"/>
      <c r="F78" s="9"/>
    </row>
    <row r="79" spans="1:6" ht="51">
      <c r="A79" s="25"/>
      <c r="B79" s="2" t="s">
        <v>177</v>
      </c>
      <c r="C79" s="3" t="s">
        <v>178</v>
      </c>
      <c r="D79" s="5" t="s">
        <v>24</v>
      </c>
      <c r="E79" s="13" t="s">
        <v>179</v>
      </c>
      <c r="F79" s="9"/>
    </row>
    <row r="80" spans="1:6" ht="84.95">
      <c r="A80" s="25"/>
      <c r="B80" s="2" t="s">
        <v>180</v>
      </c>
      <c r="C80" s="3" t="s">
        <v>181</v>
      </c>
      <c r="D80" s="5" t="s">
        <v>27</v>
      </c>
      <c r="E80" s="13" t="s">
        <v>182</v>
      </c>
      <c r="F80" s="9"/>
    </row>
    <row r="81" spans="1:6" ht="119.1">
      <c r="A81" s="25"/>
      <c r="B81" s="2" t="s">
        <v>183</v>
      </c>
      <c r="C81" s="3" t="s">
        <v>184</v>
      </c>
      <c r="D81" s="5" t="s">
        <v>27</v>
      </c>
      <c r="E81" s="13" t="s">
        <v>185</v>
      </c>
      <c r="F81" s="9"/>
    </row>
    <row r="82" spans="1:6" ht="51">
      <c r="A82" s="25"/>
      <c r="B82" s="2" t="s">
        <v>186</v>
      </c>
      <c r="C82" s="3" t="s">
        <v>187</v>
      </c>
      <c r="D82" s="5" t="s">
        <v>27</v>
      </c>
      <c r="E82" s="13" t="s">
        <v>188</v>
      </c>
      <c r="F82" s="9"/>
    </row>
    <row r="83" spans="1:6" ht="51">
      <c r="A83" s="24"/>
      <c r="B83" s="2" t="s">
        <v>189</v>
      </c>
      <c r="C83" s="3" t="s">
        <v>190</v>
      </c>
      <c r="D83" s="5" t="s">
        <v>24</v>
      </c>
      <c r="E83" s="13"/>
      <c r="F83" s="9"/>
    </row>
    <row r="84" spans="1:6" ht="18.95">
      <c r="A84" s="23" t="s">
        <v>191</v>
      </c>
      <c r="B84" s="2" t="s">
        <v>192</v>
      </c>
      <c r="C84" s="3" t="s">
        <v>193</v>
      </c>
      <c r="D84" s="5" t="s">
        <v>24</v>
      </c>
      <c r="E84" s="13"/>
      <c r="F84" s="9"/>
    </row>
    <row r="85" spans="1:6" ht="33.950000000000003">
      <c r="A85" s="25"/>
      <c r="B85" s="2" t="s">
        <v>194</v>
      </c>
      <c r="C85" s="3" t="s">
        <v>195</v>
      </c>
      <c r="D85" s="5" t="s">
        <v>24</v>
      </c>
      <c r="E85" s="13"/>
      <c r="F85" s="9"/>
    </row>
    <row r="86" spans="1:6" ht="51">
      <c r="A86" s="25"/>
      <c r="B86" s="2" t="s">
        <v>196</v>
      </c>
      <c r="C86" s="3" t="s">
        <v>197</v>
      </c>
      <c r="D86" s="5" t="s">
        <v>24</v>
      </c>
      <c r="E86" s="13"/>
      <c r="F86" s="9"/>
    </row>
    <row r="87" spans="1:6" ht="33.950000000000003">
      <c r="A87" s="25"/>
      <c r="B87" s="2" t="s">
        <v>198</v>
      </c>
      <c r="C87" s="3" t="s">
        <v>199</v>
      </c>
      <c r="D87" s="5" t="s">
        <v>24</v>
      </c>
      <c r="E87" s="13"/>
      <c r="F87" s="9"/>
    </row>
    <row r="88" spans="1:6" ht="33.950000000000003">
      <c r="A88" s="25"/>
      <c r="B88" s="2" t="s">
        <v>200</v>
      </c>
      <c r="C88" s="3" t="s">
        <v>201</v>
      </c>
      <c r="D88" s="5" t="s">
        <v>24</v>
      </c>
      <c r="E88" s="13"/>
      <c r="F88" s="9"/>
    </row>
    <row r="89" spans="1:6" ht="33.950000000000003">
      <c r="A89" s="25"/>
      <c r="B89" s="2" t="s">
        <v>202</v>
      </c>
      <c r="C89" s="3" t="s">
        <v>203</v>
      </c>
      <c r="D89" s="5" t="s">
        <v>24</v>
      </c>
      <c r="E89" s="13"/>
      <c r="F89" s="9"/>
    </row>
    <row r="90" spans="1:6" ht="33.950000000000003">
      <c r="A90" s="25"/>
      <c r="B90" s="2" t="s">
        <v>204</v>
      </c>
      <c r="C90" s="3" t="s">
        <v>205</v>
      </c>
      <c r="D90" s="5" t="s">
        <v>24</v>
      </c>
      <c r="E90" s="13"/>
      <c r="F90" s="9"/>
    </row>
    <row r="91" spans="1:6" ht="33.950000000000003">
      <c r="A91" s="25"/>
      <c r="B91" s="2" t="s">
        <v>206</v>
      </c>
      <c r="C91" s="3" t="s">
        <v>207</v>
      </c>
      <c r="D91" s="5" t="s">
        <v>24</v>
      </c>
      <c r="E91" s="13"/>
      <c r="F91" s="9"/>
    </row>
    <row r="92" spans="1:6" ht="33.950000000000003">
      <c r="A92" s="25"/>
      <c r="B92" s="2" t="s">
        <v>208</v>
      </c>
      <c r="C92" s="3" t="s">
        <v>209</v>
      </c>
      <c r="D92" s="5" t="s">
        <v>24</v>
      </c>
      <c r="E92" s="13"/>
      <c r="F92" s="9"/>
    </row>
    <row r="93" spans="1:6" ht="33.950000000000003">
      <c r="A93" s="25"/>
      <c r="B93" s="2" t="s">
        <v>210</v>
      </c>
      <c r="C93" s="3" t="s">
        <v>211</v>
      </c>
      <c r="D93" s="5" t="s">
        <v>24</v>
      </c>
      <c r="E93" s="13"/>
      <c r="F93" s="9"/>
    </row>
    <row r="94" spans="1:6" ht="51">
      <c r="A94" s="25"/>
      <c r="B94" s="2" t="s">
        <v>212</v>
      </c>
      <c r="C94" s="3" t="s">
        <v>213</v>
      </c>
      <c r="D94" s="5" t="s">
        <v>24</v>
      </c>
      <c r="E94" s="13"/>
      <c r="F94" s="9"/>
    </row>
    <row r="95" spans="1:6" ht="84.95">
      <c r="A95" s="25"/>
      <c r="B95" s="2" t="s">
        <v>214</v>
      </c>
      <c r="C95" s="3" t="s">
        <v>215</v>
      </c>
      <c r="D95" s="5" t="s">
        <v>24</v>
      </c>
      <c r="E95" s="13"/>
      <c r="F95" s="9"/>
    </row>
    <row r="96" spans="1:6" ht="51">
      <c r="A96" s="24"/>
      <c r="B96" s="2" t="s">
        <v>216</v>
      </c>
      <c r="C96" s="3" t="s">
        <v>217</v>
      </c>
      <c r="D96" s="5" t="s">
        <v>24</v>
      </c>
      <c r="E96" s="13"/>
      <c r="F96" s="9"/>
    </row>
    <row r="97" spans="1:6" ht="33.950000000000003">
      <c r="A97" s="23" t="s">
        <v>218</v>
      </c>
      <c r="B97" s="2" t="s">
        <v>219</v>
      </c>
      <c r="C97" s="3" t="s">
        <v>220</v>
      </c>
      <c r="D97" s="5" t="s">
        <v>24</v>
      </c>
      <c r="E97" s="13"/>
      <c r="F97" s="9"/>
    </row>
    <row r="98" spans="1:6" ht="33.950000000000003">
      <c r="A98" s="25"/>
      <c r="B98" s="2" t="s">
        <v>221</v>
      </c>
      <c r="C98" s="3" t="s">
        <v>222</v>
      </c>
      <c r="D98" s="5" t="s">
        <v>24</v>
      </c>
      <c r="E98" s="13"/>
      <c r="F98" s="9"/>
    </row>
    <row r="99" spans="1:6" ht="18.95">
      <c r="A99" s="25"/>
      <c r="B99" s="2" t="s">
        <v>223</v>
      </c>
      <c r="C99" s="3" t="s">
        <v>224</v>
      </c>
      <c r="D99" s="5" t="s">
        <v>24</v>
      </c>
      <c r="E99" s="13"/>
      <c r="F99" s="9"/>
    </row>
    <row r="100" spans="1:6" ht="33.950000000000003">
      <c r="A100" s="25"/>
      <c r="B100" s="2" t="s">
        <v>225</v>
      </c>
      <c r="C100" s="3" t="s">
        <v>226</v>
      </c>
      <c r="D100" s="5" t="s">
        <v>24</v>
      </c>
      <c r="E100" s="13"/>
      <c r="F100" s="9"/>
    </row>
    <row r="101" spans="1:6" ht="33.950000000000003">
      <c r="A101" s="25"/>
      <c r="B101" s="2" t="s">
        <v>227</v>
      </c>
      <c r="C101" s="3" t="s">
        <v>228</v>
      </c>
      <c r="D101" s="5" t="s">
        <v>24</v>
      </c>
      <c r="E101" s="13"/>
      <c r="F101" s="9"/>
    </row>
    <row r="102" spans="1:6" ht="68.099999999999994">
      <c r="A102" s="25"/>
      <c r="B102" s="2" t="s">
        <v>229</v>
      </c>
      <c r="C102" s="3" t="s">
        <v>230</v>
      </c>
      <c r="D102" s="5" t="s">
        <v>24</v>
      </c>
      <c r="E102" s="13"/>
      <c r="F102" s="9"/>
    </row>
    <row r="103" spans="1:6" ht="33.950000000000003">
      <c r="A103" s="25"/>
      <c r="B103" s="2" t="s">
        <v>231</v>
      </c>
      <c r="C103" s="3" t="s">
        <v>232</v>
      </c>
      <c r="D103" s="5" t="s">
        <v>24</v>
      </c>
      <c r="E103" s="13"/>
      <c r="F103" s="9"/>
    </row>
    <row r="104" spans="1:6" ht="18.95">
      <c r="A104" s="25"/>
      <c r="B104" s="2" t="s">
        <v>233</v>
      </c>
      <c r="C104" s="3" t="s">
        <v>234</v>
      </c>
      <c r="D104" s="5" t="s">
        <v>24</v>
      </c>
      <c r="E104" s="13"/>
      <c r="F104" s="9"/>
    </row>
    <row r="105" spans="1:6" ht="33.950000000000003">
      <c r="A105" s="25"/>
      <c r="B105" s="2" t="s">
        <v>235</v>
      </c>
      <c r="C105" s="3" t="s">
        <v>236</v>
      </c>
      <c r="D105" s="5" t="s">
        <v>27</v>
      </c>
      <c r="E105" s="13" t="s">
        <v>237</v>
      </c>
      <c r="F105" s="9"/>
    </row>
    <row r="106" spans="1:6" ht="51">
      <c r="A106" s="25"/>
      <c r="B106" s="2" t="s">
        <v>238</v>
      </c>
      <c r="C106" s="3" t="s">
        <v>239</v>
      </c>
      <c r="D106" s="5" t="s">
        <v>24</v>
      </c>
      <c r="E106" s="13"/>
      <c r="F106" s="9"/>
    </row>
    <row r="107" spans="1:6" ht="51">
      <c r="A107" s="24"/>
      <c r="B107" s="2" t="s">
        <v>240</v>
      </c>
      <c r="C107" s="3" t="s">
        <v>241</v>
      </c>
      <c r="D107" s="5" t="s">
        <v>27</v>
      </c>
      <c r="E107" s="13" t="s">
        <v>242</v>
      </c>
      <c r="F107" s="9"/>
    </row>
    <row r="108" spans="1:6" ht="33.950000000000003">
      <c r="A108" s="23" t="s">
        <v>243</v>
      </c>
      <c r="B108" s="2" t="s">
        <v>244</v>
      </c>
      <c r="C108" s="3" t="s">
        <v>245</v>
      </c>
      <c r="D108" s="5" t="s">
        <v>24</v>
      </c>
      <c r="E108" s="13"/>
      <c r="F108" s="9"/>
    </row>
    <row r="109" spans="1:6" ht="51">
      <c r="A109" s="25"/>
      <c r="B109" s="2" t="s">
        <v>246</v>
      </c>
      <c r="C109" s="3" t="s">
        <v>247</v>
      </c>
      <c r="D109" s="5" t="s">
        <v>24</v>
      </c>
      <c r="E109" s="13"/>
      <c r="F109" s="9"/>
    </row>
    <row r="110" spans="1:6" ht="51">
      <c r="A110" s="25"/>
      <c r="B110" s="2" t="s">
        <v>248</v>
      </c>
      <c r="C110" s="3" t="s">
        <v>249</v>
      </c>
      <c r="D110" s="5" t="s">
        <v>24</v>
      </c>
      <c r="E110" s="13"/>
      <c r="F110" s="9"/>
    </row>
    <row r="111" spans="1:6" ht="33.950000000000003">
      <c r="A111" s="25"/>
      <c r="B111" s="2" t="s">
        <v>250</v>
      </c>
      <c r="C111" s="3" t="s">
        <v>251</v>
      </c>
      <c r="D111" s="5" t="s">
        <v>24</v>
      </c>
      <c r="E111" s="13"/>
      <c r="F111" s="9"/>
    </row>
    <row r="112" spans="1:6" ht="33.950000000000003">
      <c r="A112" s="25"/>
      <c r="B112" s="2" t="s">
        <v>252</v>
      </c>
      <c r="C112" s="3" t="s">
        <v>253</v>
      </c>
      <c r="D112" s="5" t="s">
        <v>24</v>
      </c>
      <c r="E112" s="13"/>
      <c r="F112" s="9"/>
    </row>
    <row r="113" spans="1:6" ht="51">
      <c r="A113" s="25"/>
      <c r="B113" s="2" t="s">
        <v>254</v>
      </c>
      <c r="C113" s="3" t="s">
        <v>255</v>
      </c>
      <c r="D113" s="5" t="s">
        <v>24</v>
      </c>
      <c r="E113" s="13"/>
      <c r="F113" s="9"/>
    </row>
    <row r="114" spans="1:6" ht="33.950000000000003">
      <c r="A114" s="25"/>
      <c r="B114" s="2" t="s">
        <v>256</v>
      </c>
      <c r="C114" s="3" t="s">
        <v>257</v>
      </c>
      <c r="D114" s="5" t="s">
        <v>24</v>
      </c>
      <c r="E114" s="13"/>
      <c r="F114" s="9"/>
    </row>
    <row r="115" spans="1:6" ht="33.950000000000003">
      <c r="A115" s="25"/>
      <c r="B115" s="2" t="s">
        <v>258</v>
      </c>
      <c r="C115" s="3" t="s">
        <v>259</v>
      </c>
      <c r="D115" s="5" t="s">
        <v>24</v>
      </c>
      <c r="E115" s="13"/>
      <c r="F115" s="9"/>
    </row>
    <row r="116" spans="1:6" ht="51">
      <c r="A116" s="25"/>
      <c r="B116" s="2" t="s">
        <v>260</v>
      </c>
      <c r="C116" s="3" t="s">
        <v>261</v>
      </c>
      <c r="D116" s="5" t="s">
        <v>24</v>
      </c>
      <c r="E116" s="13"/>
      <c r="F116" s="9"/>
    </row>
    <row r="117" spans="1:6" ht="51">
      <c r="A117" s="25"/>
      <c r="B117" s="2" t="s">
        <v>262</v>
      </c>
      <c r="C117" s="3" t="s">
        <v>263</v>
      </c>
      <c r="D117" s="5" t="s">
        <v>24</v>
      </c>
      <c r="E117" s="13"/>
      <c r="F117" s="9"/>
    </row>
    <row r="118" spans="1:6" ht="51">
      <c r="A118" s="25"/>
      <c r="B118" s="2" t="s">
        <v>264</v>
      </c>
      <c r="C118" s="3" t="s">
        <v>265</v>
      </c>
      <c r="D118" s="5" t="s">
        <v>24</v>
      </c>
      <c r="E118" s="13"/>
      <c r="F118" s="9"/>
    </row>
    <row r="119" spans="1:6" ht="51">
      <c r="A119" s="24"/>
      <c r="B119" s="2" t="s">
        <v>266</v>
      </c>
      <c r="C119" s="3" t="s">
        <v>267</v>
      </c>
      <c r="D119" s="5" t="s">
        <v>24</v>
      </c>
      <c r="E119" s="13"/>
      <c r="F119" s="9"/>
    </row>
    <row r="122" spans="1:6">
      <c r="A122" s="26" t="s">
        <v>268</v>
      </c>
      <c r="B122" s="26"/>
      <c r="C122" s="26"/>
      <c r="D122" s="26"/>
      <c r="E122" s="12" t="s">
        <v>269</v>
      </c>
    </row>
    <row r="123" spans="1:6" ht="155.1" customHeight="1">
      <c r="A123" s="22" t="s">
        <v>270</v>
      </c>
      <c r="B123" s="22"/>
      <c r="C123" s="22"/>
      <c r="D123" s="22"/>
      <c r="E123" s="14" t="s">
        <v>271</v>
      </c>
    </row>
    <row r="124" spans="1:6" ht="57" customHeight="1">
      <c r="A124" s="27" t="s">
        <v>272</v>
      </c>
      <c r="B124" s="28"/>
      <c r="C124" s="28"/>
      <c r="D124" s="29"/>
      <c r="E124" s="14" t="s">
        <v>271</v>
      </c>
    </row>
    <row r="125" spans="1:6" ht="17.100000000000001">
      <c r="A125" s="22" t="s">
        <v>273</v>
      </c>
      <c r="B125" s="22"/>
      <c r="C125" s="22"/>
      <c r="D125" s="22"/>
      <c r="E125" s="14" t="s">
        <v>271</v>
      </c>
    </row>
    <row r="126" spans="1:6" ht="101.1" customHeight="1">
      <c r="A126" s="19" t="s">
        <v>274</v>
      </c>
      <c r="B126" s="20"/>
      <c r="C126" s="20"/>
      <c r="D126" s="21"/>
      <c r="E126" s="18" t="s">
        <v>275</v>
      </c>
    </row>
  </sheetData>
  <mergeCells count="28">
    <mergeCell ref="A1:D1"/>
    <mergeCell ref="A7:C7"/>
    <mergeCell ref="A3:C3"/>
    <mergeCell ref="A4:C4"/>
    <mergeCell ref="A5:C5"/>
    <mergeCell ref="A6:C6"/>
    <mergeCell ref="A41:A48"/>
    <mergeCell ref="A8:C8"/>
    <mergeCell ref="A9:C9"/>
    <mergeCell ref="A10:C10"/>
    <mergeCell ref="A11:C11"/>
    <mergeCell ref="A14:A22"/>
    <mergeCell ref="A23:A24"/>
    <mergeCell ref="A25:A27"/>
    <mergeCell ref="A28:A40"/>
    <mergeCell ref="A126:D126"/>
    <mergeCell ref="A125:D125"/>
    <mergeCell ref="A49:A50"/>
    <mergeCell ref="A51:A55"/>
    <mergeCell ref="A56:A65"/>
    <mergeCell ref="A66:A69"/>
    <mergeCell ref="A70:A83"/>
    <mergeCell ref="A84:A96"/>
    <mergeCell ref="A97:A107"/>
    <mergeCell ref="A108:A119"/>
    <mergeCell ref="A122:D122"/>
    <mergeCell ref="A123:D123"/>
    <mergeCell ref="A124:D124"/>
  </mergeCells>
  <conditionalFormatting sqref="D14:E119">
    <cfRule type="expression" dxfId="2" priority="4">
      <formula>$D14="Non conforme"</formula>
    </cfRule>
  </conditionalFormatting>
  <conditionalFormatting sqref="D14:E119">
    <cfRule type="expression" dxfId="1" priority="2">
      <formula>$D14="Dérogé"</formula>
    </cfRule>
  </conditionalFormatting>
  <conditionalFormatting sqref="D14:E119">
    <cfRule type="expression" dxfId="0" priority="3">
      <formula>$D14="Conforme"</formula>
    </cfRule>
  </conditionalFormatting>
  <dataValidations count="2">
    <dataValidation allowBlank="1" showInputMessage="1" showErrorMessage="1" prompt="Format JJ/MM/AAAA" sqref="D3" xr:uid="{00000000-0002-0000-0500-000000000000}"/>
    <dataValidation type="list" allowBlank="1" showInputMessage="1" showErrorMessage="1" sqref="D14:D119" xr:uid="{00000000-0002-0000-0500-000001000000}">
      <formula1>"Conforme,Non conforme,Non applicable,Dérogé,Non testé"</formula1>
    </dataValidation>
  </dataValidation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Julien Roche</dc:creator>
  <cp:keywords/>
  <dc:description/>
  <cp:lastModifiedBy/>
  <cp:revision/>
  <dcterms:created xsi:type="dcterms:W3CDTF">2025-03-05T16:22:31Z</dcterms:created>
  <dcterms:modified xsi:type="dcterms:W3CDTF">2025-04-22T19:53:04Z</dcterms:modified>
  <cp:category/>
  <cp:contentStatus/>
</cp:coreProperties>
</file>
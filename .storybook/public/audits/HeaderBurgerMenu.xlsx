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27"/>
  <workbookPr/>
  <mc:AlternateContent xmlns:mc="http://schemas.openxmlformats.org/markup-compatibility/2006">
    <mc:Choice Requires="x15">
      <x15ac:absPath xmlns:x15ac="http://schemas.microsoft.com/office/spreadsheetml/2010/11/ac" url="/Users/davidfyon/Desktop/cnam/design-system-v3/.storybook/public/audits/"/>
    </mc:Choice>
  </mc:AlternateContent>
  <xr:revisionPtr revIDLastSave="0" documentId="13_ncr:1_{448C7B83-1BE8-194A-906A-EF9A35632ACB}" xr6:coauthVersionLast="47" xr6:coauthVersionMax="47" xr10:uidLastSave="{00000000-0000-0000-0000-000000000000}"/>
  <bookViews>
    <workbookView xWindow="0" yWindow="760" windowWidth="30240" windowHeight="17540" xr2:uid="{00000000-000D-0000-FFFF-FFFF00000000}"/>
  </bookViews>
  <sheets>
    <sheet name="HeaderBurgerMenu" sheetId="2" r:id="rId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7" i="2" l="1"/>
  <c r="D8" i="2"/>
  <c r="D9" i="2" l="1"/>
  <c r="D6" i="2"/>
  <c r="D5" i="2"/>
  <c r="D10" i="2" l="1"/>
  <c r="D11" i="2" s="1"/>
</calcChain>
</file>

<file path=xl/sharedStrings.xml><?xml version="1.0" encoding="utf-8"?>
<sst xmlns="http://schemas.openxmlformats.org/spreadsheetml/2006/main" count="391" uniqueCount="287">
  <si>
    <t>Composant : HeaderBurgerMenu</t>
  </si>
  <si>
    <t>Audit</t>
  </si>
  <si>
    <t>Audit V1</t>
  </si>
  <si>
    <t>Correction post audit V1 - (voir - https://github.com/assurance-maladie-digital/design-system-v3/issues/646)</t>
  </si>
  <si>
    <t>Date</t>
  </si>
  <si>
    <t>Version</t>
  </si>
  <si>
    <t>1.0.0</t>
  </si>
  <si>
    <t>Nombre de critères conformes</t>
  </si>
  <si>
    <t>Nombre de critères non conformes</t>
  </si>
  <si>
    <t>Nombre de critères non applicable</t>
  </si>
  <si>
    <t>Nombre de critères dérogés</t>
  </si>
  <si>
    <t>Nombre de critères non testés</t>
  </si>
  <si>
    <t>Pourcentage de conformité</t>
  </si>
  <si>
    <t>Pourcentage de non-conformité</t>
  </si>
  <si>
    <t>Thématique</t>
  </si>
  <si>
    <t>N° critère</t>
  </si>
  <si>
    <t>Recommandation</t>
  </si>
  <si>
    <t>Conformité</t>
  </si>
  <si>
    <t>Description de l'erreur / Remarques / Questions</t>
  </si>
  <si>
    <t>Correction</t>
  </si>
  <si>
    <t>IMAGES</t>
  </si>
  <si>
    <t>1.1</t>
  </si>
  <si>
    <t>Chaque image porteuse d’information a-t-elle une alternative textuelle ?</t>
  </si>
  <si>
    <t>Non applicable</t>
  </si>
  <si>
    <t>1.2</t>
  </si>
  <si>
    <t>Chaque image de décoration est-elle correctement ignorée par les technologies d’assistance ?</t>
  </si>
  <si>
    <t>Non conforme</t>
  </si>
  <si>
    <t>Les SVG du menu burger et les flèches pour les sous-menus sont bien des images de décoration, ignorée par les technologies d'assistance avec aria-hidden="true". En revanche, ils possèdent l'attribut role="img" réservé aux images porteuses d'informations.</t>
  </si>
  <si>
    <t>Utilisation du composant du design system 'SyIcon'</t>
  </si>
  <si>
    <t>1.3</t>
  </si>
  <si>
    <t>Pour chaque image porteuse d'information ayant une alternative textuelle, cette alternative est-elle pertinente (hors cas particuliers) ?</t>
  </si>
  <si>
    <t>1.4</t>
  </si>
  <si>
    <t>Pour chaque image utilisée comme CAPTCHA ou comme image-test, ayant une alternative textuelle, cette alternative permet-elle d’identifier la nature et la fonction de l’image ?</t>
  </si>
  <si>
    <t>1.5</t>
  </si>
  <si>
    <t>Pour chaque image utilisée comme CAPTCHA, une solution d’accès alternatif au contenu ou à la fonction du CAPTCHA est-elle présente ?</t>
  </si>
  <si>
    <t>1.6</t>
  </si>
  <si>
    <t>Chaque image porteuse d’information a-t-elle, si nécessaire, une description détaillée ?</t>
  </si>
  <si>
    <t>1.7</t>
  </si>
  <si>
    <t>Pour chaque image porteuse d’information ayant une description détaillée, cette description est-elle pertinente ?</t>
  </si>
  <si>
    <t>1.8</t>
  </si>
  <si>
    <t>Chaque image texte porteuse d’information, en l’absence d’un mécanisme de remplacement, doit si possible être remplacée par du texte stylé. Cette règle est-elle respectée (hors cas particuliers) ?</t>
  </si>
  <si>
    <t>1.9</t>
  </si>
  <si>
    <t>Chaque légende d’image est-elle, si nécessaire, correctement reliée à l’image correspondante ?</t>
  </si>
  <si>
    <t>CADRES</t>
  </si>
  <si>
    <t>2.1</t>
  </si>
  <si>
    <t>Chaque cadre a-t-il un titre de cadre ?</t>
  </si>
  <si>
    <t>2.2</t>
  </si>
  <si>
    <t>Pour chaque cadre ayant un titre de cadre, ce titre de cadre est-il pertinent ?</t>
  </si>
  <si>
    <t>COULEURS</t>
  </si>
  <si>
    <t>3.1</t>
  </si>
  <si>
    <t>Dans chaque page web, l’information ne doit pas être donnée uniquement par la couleur. Cette règle est-elle respectée ?</t>
  </si>
  <si>
    <t>3.2</t>
  </si>
  <si>
    <t>Dans chaque page web, le contraste entre la couleur du texte et la couleur de son arrière-plan est-il suffisamment élevé (hors cas particuliers) ?</t>
  </si>
  <si>
    <t>Conforme</t>
  </si>
  <si>
    <t>Thème par défaut :
  - Titre du bouton hamburger (16px gras) :
    - menu fermé (normal/hover) =&gt; texte blanc sur fond bleu =&gt; 9,38 (conforme)
    - menu ouvert (normal/hover) + menu fermé (focus) =&gt; texte bleu sur fond blanc =&gt; 9,38 (conforme)
  - Titre d'une section (16px gras) =&gt; texte noir sur fond blanc =&gt; 15,43 (conforme)
  - Item niveau 1 (17,6px gras) :
    - normal/focus =&gt; texte bleu sur fond blanc =&gt; 9,38 (conforme)
    - hover =&gt; texte blanc sur fond bleu =&gt; 9,38 (conforme)
  - Item niveau 2 (16px gras) :
    - normal/focus =&gt; texte bleu sur fond gris =&gt; 8,91 (conforme)
    - hover =&gt; texte blanc sur fond bleu =&gt; 9,38 (conforme)</t>
  </si>
  <si>
    <t>3.3</t>
  </si>
  <si>
    <t>Dans chaque page web, les couleurs utilisées dans les composants d’interface ou les éléments graphiques porteurs d’informations sont-elles suffisamment contrastées (hors cas particuliers) ?</t>
  </si>
  <si>
    <t>Les icônes du bouton menu burger (ouvert/fermé) ainsi que les flèches pour les sous-menus (ouvert/fermé) ont un contraste toujours équivalent à 9,38 (conforme). Idem pour la bordure apparaissant au focus de la version fermée.
- bordure item niveau 1 =&gt; bordure bleue sur fond blanc =&gt; 9,4 (conforme)
- bordure item niveau 2 =&gt; bordure bleue sur fond gris =&gt; 8,9 (conforme)</t>
  </si>
  <si>
    <t>MULTIMÉDIA</t>
  </si>
  <si>
    <t>4.1</t>
  </si>
  <si>
    <t>Chaque média temporel pré-enregistré a-t-il, si nécessaire, une transcription textuelle ou une audiodescription (hors cas particuliers) ?</t>
  </si>
  <si>
    <t>4.2</t>
  </si>
  <si>
    <t>Pour chaque média temporel pré-enregistré ayant une transcription textuelle ou une audiodescription synchronisée, celles-ci sont-elles pertinentes (hors cas particuliers) ?</t>
  </si>
  <si>
    <t>4.3</t>
  </si>
  <si>
    <t>Chaque média temporel synchronisé pré-enregistré a-t-il, si nécessaire, des sous-titres synchronisés (hors cas particuliers) ?</t>
  </si>
  <si>
    <t>4.4</t>
  </si>
  <si>
    <t>Pour chaque média temporel synchronisé pré-enregistré ayant des sous-titres synchronisés, ces sous-titres sont-ils pertinents ?</t>
  </si>
  <si>
    <t>4.5</t>
  </si>
  <si>
    <t>Chaque média temporel pré-enregistré a-t-il, si nécessaire, une audiodescription synchronisée (hors cas particuliers) ?</t>
  </si>
  <si>
    <t>4.6</t>
  </si>
  <si>
    <t>Pour chaque média temporel pré-enregistré ayant une audiodescription synchronisée, celle-ci est-elle pertinente ?</t>
  </si>
  <si>
    <t>4.7</t>
  </si>
  <si>
    <t>Chaque média temporel est-il clairement identifiable (hors cas particuliers) ?</t>
  </si>
  <si>
    <t>4.8</t>
  </si>
  <si>
    <t>Chaque média non temporel a-t-il, si nécessaire, une alternative (hors cas particuliers) ?</t>
  </si>
  <si>
    <t>4.9</t>
  </si>
  <si>
    <t>Pour chaque média non temporel ayant une alternative, cette alternative est-elle pertinente ?</t>
  </si>
  <si>
    <t>4.10</t>
  </si>
  <si>
    <t>Chaque son déclenché automatiquement est-il contrôlable par l’utilisateur ?</t>
  </si>
  <si>
    <t>4.11</t>
  </si>
  <si>
    <t>La consultation de chaque média temporel est-elle, si nécessaire, contrôlable par le clavier et tout dispositif de pointage ?</t>
  </si>
  <si>
    <t>4.12</t>
  </si>
  <si>
    <t>La consultation de chaque média non temporel est-elle contrôlable par le clavier et tout dispositif de pointage ?</t>
  </si>
  <si>
    <t>4.13</t>
  </si>
  <si>
    <t>Chaque média temporel et non temporel est-il compatible avec les technologies d’assistance (hors cas particuliers) ?</t>
  </si>
  <si>
    <t>TABLEAUX</t>
  </si>
  <si>
    <t>5.1</t>
  </si>
  <si>
    <t>Chaque tableau de données complexe a-t-il un résumé ?</t>
  </si>
  <si>
    <t>5.2</t>
  </si>
  <si>
    <t>Pour chaque tableau de données complexe ayant un résumé, celui-ci est-il pertinent ?</t>
  </si>
  <si>
    <t>5.3</t>
  </si>
  <si>
    <t>Pour chaque tableau de mise en forme, le contenu linéarisé reste-t-il compréhensible ?</t>
  </si>
  <si>
    <t>5.4</t>
  </si>
  <si>
    <t>Pour chaque tableau de données ayant un titre, le titre est-il correctement associé au tableau de données ?</t>
  </si>
  <si>
    <t>5.5</t>
  </si>
  <si>
    <t>Pour chaque tableau de données ayant un titre, celui-ci est-il pertinent ?</t>
  </si>
  <si>
    <t>5.6</t>
  </si>
  <si>
    <t>Pour chaque tableau de données, chaque en-tête de colonnes et chaque en-tête de lignes sont-ils correctement déclarés ?</t>
  </si>
  <si>
    <t>5.7</t>
  </si>
  <si>
    <t>Pour chaque tableau de données, la technique appropriée permettant d’associer chaque cellule avec ses en-têtes est-elle utilisée (hors cas particuliers) ?</t>
  </si>
  <si>
    <t>5.8</t>
  </si>
  <si>
    <t>Chaque tableau de mise en forme ne doit pas utiliser d’éléments propres aux tableaux de données. Cette règle est-elle respectée ?</t>
  </si>
  <si>
    <t>LIENS</t>
  </si>
  <si>
    <t>6.1</t>
  </si>
  <si>
    <t>Chaque lien est-il explicite (hors cas particuliers) ?</t>
  </si>
  <si>
    <t>Le composant ne determine pas si le lien est explicite ou non =&gt; charge au développeur</t>
  </si>
  <si>
    <t>6.2</t>
  </si>
  <si>
    <t>Dans chaque page web, chaque lien a-t-il un intitulé ?</t>
  </si>
  <si>
    <t>Le composant ne determine pas si le lien possède un intitulé ou non =&gt; charge au développeur</t>
  </si>
  <si>
    <t>SCRIPTS</t>
  </si>
  <si>
    <t>7.1</t>
  </si>
  <si>
    <t>Chaque script est-il, si nécessaire, compatible avec les technologies d’assistance ?</t>
  </si>
  <si>
    <t>Points positifs :
  - Le bouton burger menu possède un aria-label explicite "Ouvrir le menu" lorsqu'il est fermé et "Fermer le menu" lorsqu'il est ouvert
  - Les boutons déclencheurs (burger menu ou sous-menu) possèdent les attributs aria-expanded et aria-controls
  - À l'ouverture, le focus reste sur le bouton déclencheur, devenant un bouton de fermerture du menu
  - Le focus reste bien sur le bouton déclencheur (burger menu ou sous-menu) après ouverture du menu rattaché
Points négatifs :
  - Le menu burger est entièrement inclu dans une boîte de dialogue =&gt; ne devrait pas être le cas lorsqu'il est fermé. Son container principal devraît être une balise de navigation (voir critère 9.2). Une possibilité, mais aucune obligation, est de considérer le menu dépliant (incluant uniquement le bouton "Fermer le menu") dans une dialog (et non le bouton "Ouvrir le menu" compris comme actuellement) car il est visuellement matérialisé ainsi grâce au fond flou. Ainsi, il faut respecter le pattern W3C Dialog qui impose notamment que le focus reste bloqué dans cette boîte (impossibilité pour le lecteur d'écran d'atteindre le bouton "Ouvrir le menu" lorsque celui-ci est ouvert ni aucun autre élément en dehors de la boîte). Autre possibilité, n'avoir aucune boîte de dialogue. Dans les deux, il faudra suivre le pattern "Disclosure Navigation".
  - Les sections devraient être matérialisées dans des balises "section", elles-mêmes dans des listes à puces. Voir exemple plus bas. L'objectif est que l'utilisateur puisse détecter le nombre de section, identifier son titre sans qu'il n'est besoin de passer sur l'ensemble des items de chaque section.
Exemple structure HTML Burger Menu : 
&lt;nav role="navigation" aria-label="Menu principal"&gt;
    &lt;button aria-label="Ouvrir le menu" title="Ouvrir le menu" aria-expanded="false" aria-controls="burger-menu"&gt;☰&lt;/button&gt;
    &lt;ul id="burger-menu"&gt;
        &lt;li&gt;
            &lt;section aria-labelledby="burger-menu-section-1"&gt;
                &lt;h2 id="burger-menu-section-1"&gt;Section 1&lt;/h2&gt;
                &lt;ul&gt;
                    &lt;li&gt;&lt;a href="/"&gt;Item 1.1&lt;/a&gt;&lt;/li&gt;
                    &lt;li&gt;&lt;a href="/"&gt;Item 1.2&lt;/a&gt;&lt;/li&gt;
                &lt;/ul&gt;
            &lt;/section&gt;
        &lt;/li&gt;
        &lt;li&gt;
            &lt;section aria-labelledby="burger-menu-section-2"&gt;
                &lt;h2 id="burger-menu-section-2"&gt;Section 2&lt;/h2&gt;
                &lt;ul&gt;
                    &lt;li&gt;&lt;a href="/"&gt;Item 2.1&lt;/a&gt;&lt;/li&gt;
                    &lt;li&gt;
                        &lt;button aria-expanded="false" aria-controls="burger-sub-menu-2-2"&gt;Item 2.2&lt;/button&gt;
                        &lt;ul id="burger-sub-menu-2-2"&gt;
                            &lt;li&gt;&lt;a href="/"&gt;Item 2.3.1&lt;/a&gt;&lt;/li&gt;
                            &lt;li&gt;&lt;a href="/"&gt;Item 2.3.2&lt;/a&gt;&lt;/li&gt;
                            &lt;li&gt;&lt;a href="/"&gt;Item 2.3.3&lt;/a&gt;&lt;/li&gt;
                        &lt;/ul&gt;
                    &lt;/li&gt;
                &lt;/ul&gt;
            &lt;/section&gt;
        &lt;/li&gt;
    &lt;/ul&gt;
&lt;/nav&gt;</t>
  </si>
  <si>
    <t>Restreindre la boite de dialogue, mise en place d'un system de capture du focus, ajout des balise section</t>
  </si>
  <si>
    <t>7.2</t>
  </si>
  <si>
    <t>Pour chaque script ayant une alternative, cette alternative est-elle pertinente ?</t>
  </si>
  <si>
    <t>7.3</t>
  </si>
  <si>
    <t>Chaque script est-il contrôlable par le clavier et par tout dispositif de pointage (hors cas particuliers) ?</t>
  </si>
  <si>
    <t>Points positifs :
  - Les menus peuvent s'ouvrir, lors du focus sur le bouton burger ou celui du sous-menu, via Espace/Entrée
  - Il est possible de naviguer via TAB sur les différents items
  - Le focus reste bien sur le bouton déclencheur (burger menu ou sous-menu) après ouverture du menu rattaché
Points négatifs :
  - Il n'est pas possible de fermer les menu via la touche Echap (que ce soit niveau 1 ou 2)
  - Impossibilité de naviguer entre les différents" liens" via le clavier =&gt; problème au niveau de la documentation à cause de l'absence de balise href sur certains exemples : &lt;a&gt;Item&lt;/a&gt;, il faut ajouter les href sur chaque exemple pour que cela fonctionne
  - (Facultatif) Je ne peux pas naviguer en utilisant les flèches Haut/Bas/Gauche/Droite  (que ce soit niveau 1 ou 2)
  - (Facultatif) Les touches Home et End ne dirigent pas respectivement vers le premier ou le dernier élément d'une liste (que ce soit niveau 1 ou 2)
Pour en savoir plus : https://www.w3.org/WAI/ARIA/apg/patterns/disclosure/examples/disclosure-navigation/</t>
  </si>
  <si>
    <t>ajout de la fermeture des menus avec la touche echap</t>
  </si>
  <si>
    <t>7.4</t>
  </si>
  <si>
    <t>Pour chaque script qui initie un changement de contexte, l’utilisateur est-il averti ou en a-t-il le contrôle ?</t>
  </si>
  <si>
    <t>7.5</t>
  </si>
  <si>
    <t>Dans chaque page web, les messages de statut sont-ils correctement restitués par les technologies d’assistance ?</t>
  </si>
  <si>
    <t>ÉLÉMENTS OBLIGATOIRES</t>
  </si>
  <si>
    <t>8.1</t>
  </si>
  <si>
    <t>Chaque page web est-elle définie par un type de document ?</t>
  </si>
  <si>
    <t>8.2</t>
  </si>
  <si>
    <t>Pour chaque page web, le code source généré est-il valide selon le type de document spécifié (hors cas particuliers) ?</t>
  </si>
  <si>
    <t>Nombreuses erreurs de tags non fermés dû à l'erreur sur l'existence d'un li sans ul pour les sous-menus =&gt; voir critère 9.3
Aucune erreur sans sous-menu.</t>
  </si>
  <si>
    <t>correction de la story concerné</t>
  </si>
  <si>
    <t>8.3</t>
  </si>
  <si>
    <t>Dans chaque page web, la langue par défaut est-elle présente ?</t>
  </si>
  <si>
    <t>8.4</t>
  </si>
  <si>
    <t>Pour chaque page web ayant une langue par défaut, le code de langue est-il pertinent ?</t>
  </si>
  <si>
    <t>8.5</t>
  </si>
  <si>
    <t>Chaque page web a-t-elle un titre de page ?</t>
  </si>
  <si>
    <t>8.6</t>
  </si>
  <si>
    <t>Pour chaque page web ayant un titre de page, ce titre est-il pertinent ?</t>
  </si>
  <si>
    <t>8.7</t>
  </si>
  <si>
    <t>Dans chaque page web, chaque changement de langue est-il indiqué dans le code source (hors cas particuliers) ?</t>
  </si>
  <si>
    <t>8.8</t>
  </si>
  <si>
    <t>Dans chaque page web, le code de langue de chaque changement de langue est-il valide et pertinent ?</t>
  </si>
  <si>
    <t>8.9</t>
  </si>
  <si>
    <t>Dans chaque page web, les balises ne doivent pas être utilisées uniquement à des fins de présentation. Cette règle est-elle respectée ?</t>
  </si>
  <si>
    <t>8.10</t>
  </si>
  <si>
    <t>Dans chaque page web, les changements du sens de lecture sont-ils signalés ?</t>
  </si>
  <si>
    <t>STRUCTURATION</t>
  </si>
  <si>
    <t>9.1</t>
  </si>
  <si>
    <t>Dans chaque page web, l’information est-elle structurée par l’utilisation appropriée de titres ?</t>
  </si>
  <si>
    <t>Les titres des sections devraient être dans des balises hx (niveau modifiable par le développeur mais par défaut h2 ?). Voir structure HTML proposée dans le critère 7.1.</t>
  </si>
  <si>
    <t>Transformer le tag en h2 avec possibilité de personnaliser le tag</t>
  </si>
  <si>
    <t>9.2</t>
  </si>
  <si>
    <t>Dans chaque page web, la structure du document est-elle cohérente (hors cas particuliers) ?</t>
  </si>
  <si>
    <t>Le menu burger doit être inclus dans une balise de navigation : &lt;nav role="navigation" aria-label="Menu principal"&gt;&lt;button …&gt;…" à la place de la balise avec le rôle dialog. La dialog est notamment possible seulement pour la partie du menu ouverte (incluant son bouton de fermeture) =&gt; voir critère 7.1.</t>
  </si>
  <si>
    <t>ajout d'un balise nav autour du boutton d'ouverture du menu</t>
  </si>
  <si>
    <t>9.3</t>
  </si>
  <si>
    <t>Dans chaque page web, chaque liste est-elle correctement structurée ?</t>
  </si>
  <si>
    <t>Point positif :
  - liste ul/li conforme pour les items de niveau 1
Point négatif :
  - manque un ul pour les items de niveau 2 (sous-menu) =&gt; class .sub-menu-content</t>
  </si>
  <si>
    <t>ajout du balise ul &gt; li avec possibilité de personnaliser les tags</t>
  </si>
  <si>
    <t>9.4</t>
  </si>
  <si>
    <t>Dans chaque page web, chaque citation est-elle correctement indiquée ?</t>
  </si>
  <si>
    <t>PRÉSENTATION</t>
  </si>
  <si>
    <t>10.1</t>
  </si>
  <si>
    <t>Dans le site web, des feuilles de styles sont-elles utilisées pour contrôler la présentation de l’information ?</t>
  </si>
  <si>
    <t>Aucune balise ou attribut servant à la présentation de l'information n'est présent sur le composant, les styles sont bien réalisés par CSS. 
Une attention particulière est notée pour les espaces (sur un mot, un tableau ou pour simuler de la présentation) qui est de la responsabilité du contributeur</t>
  </si>
  <si>
    <t>10.2</t>
  </si>
  <si>
    <t>Dans chaque page web, le contenu visible porteur d’information reste-t-il présent lorsque les feuilles de styles sont désactivées ?</t>
  </si>
  <si>
    <t>Le composant est visible lorsque les feuilles de syles sont désactivées.</t>
  </si>
  <si>
    <t>10.3</t>
  </si>
  <si>
    <t>Dans chaque page web, l’information reste-t-elle compréhensible lorsque les feuilles de styles sont désactivées ?</t>
  </si>
  <si>
    <t>La hierachisation des listes et sous-listes (sous-menu) n'est pas compréhensible lorsque les feuilles de styles sont désactivées (voir 9.3)</t>
  </si>
  <si>
    <t>voir 9,3</t>
  </si>
  <si>
    <t>10.4</t>
  </si>
  <si>
    <t>Dans chaque page web, le texte reste-t-il lisible lorsque la taille des caractères est augmentée jusqu’à 200%, au moins (hors cas particuliers) ?</t>
  </si>
  <si>
    <t xml:space="preserve">Aucun problème de lisibilité, que ce soit en zoom écran ou zoom texte à 200%. </t>
  </si>
  <si>
    <t>10.5</t>
  </si>
  <si>
    <t>Dans chaque page web, les déclarations CSS de couleurs de fond d’élément et de police sont-elles correctement utilisées ?</t>
  </si>
  <si>
    <t>Oui, chaque élément possède une couleur de fond et de polices, au moins, héritée d’un parent.</t>
  </si>
  <si>
    <t>10.6</t>
  </si>
  <si>
    <t>Dans chaque page web, chaque lien dont la nature n’est pas évidente est-il visible par rapport au texte environnant ?</t>
  </si>
  <si>
    <t>10.7</t>
  </si>
  <si>
    <t>Dans chaque page web, pour chaque élément recevant le focus, la prise de focus est-elle visible ?</t>
  </si>
  <si>
    <t>10.8</t>
  </si>
  <si>
    <t>Pour chaque page web, les contenus cachés ont-ils vocation à être ignorés par les technologies d’assistance ?</t>
  </si>
  <si>
    <t>10.9</t>
  </si>
  <si>
    <t>Dans chaque page web, l’information ne doit pas être donnée uniquement par la forme, taille ou position. Cette règle est-elle respectée ?</t>
  </si>
  <si>
    <t>Le fait que les menu ou sous-menu soient ouvert/fermé n'est pas donné uniquement par la forme (trois trait/croix ou flèche gauche/droite) grâce à l'attribut aria-expanded true/false.</t>
  </si>
  <si>
    <t>10.10</t>
  </si>
  <si>
    <t>Dans chaque page web, l’information ne doit pas être donnée par la forme, taille ou position uniquement. Cette règle est-elle implémentée de façon pertinente ?</t>
  </si>
  <si>
    <t>L'implémentation via l'attribut aria-expanded est pertinente et réagit correctement selon si le menu est ouvert/fermé.</t>
  </si>
  <si>
    <t>10.11</t>
  </si>
  <si>
    <t>Pour chaque page web, les contenus peuvent-ils être présentés sans perte d’information ou de fonctionnalité et sans avoir recours soit à un défilement vertical pour une fenêtre ayant une hauteur de 256 px, soit à un défilement horizontal pour une fenêtre ayant une largeur de 320 px (hors cas particuliers) ?</t>
  </si>
  <si>
    <t>Test effectué à 320px (sens de lecture horizontal)
Le composant se comporte correctement et il n'y a aucune perte d'information ou problème de lisibilité =&gt; passage en pleine page et niveau 1 qui disparaît lorsque le niveau 2 est ouvert.</t>
  </si>
  <si>
    <t>10.12</t>
  </si>
  <si>
    <t>Dans chaque page web, les propriétés d’espacement du texte peuvent-elles être redéfinies par l’utilisateur sans perte de contenu ou de fonctionnalité (hors cas particuliers) ?</t>
  </si>
  <si>
    <t>Testé avec Assistant RGAA :
body {
line-height: 1.5 !important;
letter-spacing: 0.12em !important;
 word-spacing: 0.16em !important;
}
p { margin-bottom: 2em !important; }</t>
  </si>
  <si>
    <t>10.13</t>
  </si>
  <si>
    <t>Dans chaque page web, les contenus additionnels apparaissant à la prise de focus ou au survol d’un composant d’interface sont-ils contrôlables par l’utilisateur (hors cas particuliers) ?</t>
  </si>
  <si>
    <t>10.14</t>
  </si>
  <si>
    <t>Dans chaque page web, les contenus additionnels apparaissant via les styles CSS uniquement peuvent-ils être rendus visibles au clavier et par tout dispositif de pointage ?</t>
  </si>
  <si>
    <t>FORMULAIRES</t>
  </si>
  <si>
    <t>11.1</t>
  </si>
  <si>
    <t>Chaque champ de formulaire a-t-il une étiquette ?</t>
  </si>
  <si>
    <t>11.2</t>
  </si>
  <si>
    <t>Chaque étiquette associée à un champ de formulaire est-elle pertinente (hors cas particuliers) ?</t>
  </si>
  <si>
    <t>11.3</t>
  </si>
  <si>
    <t>Dans chaque formulaire, chaque étiquette associée à un champ de formulaire ayant la même fonction et répété plusieurs fois dans une même page ou dans un ensemble de pages est-elle cohérente ?</t>
  </si>
  <si>
    <t>11.4</t>
  </si>
  <si>
    <t>Dans chaque formulaire, chaque étiquette de champ et son champ associé sont-ils accolés (hors cas particuliers) ?</t>
  </si>
  <si>
    <t>11.5</t>
  </si>
  <si>
    <t>Dans chaque formulaire, les champs de même nature sont-ils regroupés, si nécessaire ?</t>
  </si>
  <si>
    <t>11.6</t>
  </si>
  <si>
    <t>Dans chaque formulaire, chaque regroupement de champs de même nature a-t-il une légende ?</t>
  </si>
  <si>
    <t>11.7</t>
  </si>
  <si>
    <t>Dans chaque formulaire, chaque légende associée à un regroupement de champs de même nature est-elle pertinente ?</t>
  </si>
  <si>
    <t>11.8</t>
  </si>
  <si>
    <t>Dans chaque formulaire, les items de même nature d’une liste de choix sont-ils regroupées de manière pertinente ?</t>
  </si>
  <si>
    <t>11.9</t>
  </si>
  <si>
    <t>Dans chaque formulaire, l’intitulé de chaque bouton est-il pertinent (hors cas particuliers) ?</t>
  </si>
  <si>
    <t>11.10</t>
  </si>
  <si>
    <t>Dans chaque formulaire, le contrôle de saisie est-il utilisé de manière pertinente (hors cas particuliers) ?</t>
  </si>
  <si>
    <t>11.11</t>
  </si>
  <si>
    <t>Dans chaque formulaire, le contrôle de saisie est-il accompagné, si nécessaire, de suggestions facilitant la correction des erreurs de saisie ?</t>
  </si>
  <si>
    <t>11.12</t>
  </si>
  <si>
    <t>Pour chaque formulaire qui modifie ou supprime des données, ou qui transmet des réponses à un test ou à un examen, ou dont la validation a des conséquences financières ou juridiques, les données saisies peuvent-elles être modifiées, mises à jour ou récupérées par l’utilisateur ?</t>
  </si>
  <si>
    <t>11.13</t>
  </si>
  <si>
    <t>La finalité d’un champ de saisie peut-elle être déduite pour faciliter le remplissage automatique des champs avec les données de l’utilisateur ?</t>
  </si>
  <si>
    <t>NAVIGATION</t>
  </si>
  <si>
    <t>12.1</t>
  </si>
  <si>
    <t>Chaque ensemble de pages dispose-t-il de deux systèmes de navigation différents, au moins (hors cas particuliers) ?</t>
  </si>
  <si>
    <t>12.2</t>
  </si>
  <si>
    <t>Dans chaque ensemble de pages, le menu et les barres de navigation sont-ils toujours à la même place (hors cas particuliers) ?</t>
  </si>
  <si>
    <t>12.3</t>
  </si>
  <si>
    <t>La page « plan du site » est-elle pertinente ?</t>
  </si>
  <si>
    <t>12.4</t>
  </si>
  <si>
    <t>Dans chaque ensemble de pages, la page « plan du site » est-elle atteignable de manière identique ?</t>
  </si>
  <si>
    <t>12.5</t>
  </si>
  <si>
    <t>Dans chaque ensemble de pages, le moteur de recherche est-il atteignable de manière identique ?</t>
  </si>
  <si>
    <t>12.6</t>
  </si>
  <si>
    <t>Les zones de regroupement de contenus présentes dans plusieurs pages web (zones d’en-tête, de navigation principale, de contenu principal, de pied de page et de moteur de recherche) peuvent-elles être atteintes ou évitées ?</t>
  </si>
  <si>
    <t>12.7</t>
  </si>
  <si>
    <t>Dans chaque page web, un lien d’évitement ou d’accès rapide à la zone de contenu principal est-il présent (hors cas particuliers) ?</t>
  </si>
  <si>
    <t>12.8</t>
  </si>
  <si>
    <t>Dans chaque page web, l’ordre de tabulation est-il cohérent ?</t>
  </si>
  <si>
    <t>L'ordre de tabuation dans le contenu est cohérent.</t>
  </si>
  <si>
    <t>12.9</t>
  </si>
  <si>
    <t>Dans chaque page web, la navigation ne doit pas contenir de piège au clavier. Cette règle est-elle respectée ?</t>
  </si>
  <si>
    <t>Attention, aujourd'hui nous avons une balise dialog. Si on reste sur cette solution, il faut respecter le pattern Dialog avec un focus qui boucle uniquement dans les enfants focusables de cette boîte.</t>
  </si>
  <si>
    <t>mise en place d'un system de capture du focus</t>
  </si>
  <si>
    <t>12.10</t>
  </si>
  <si>
    <t>Dans chaque page web, les raccourcis clavier n’utilisant qu’une seule touche (lettre minuscule ou majuscule, ponctuation, chiffre ou symbole) sont-ils contrôlables par l’utilisateur ?</t>
  </si>
  <si>
    <t>12.11</t>
  </si>
  <si>
    <t>Dans chaque page web, les contenus additionnels apparaissant au survol, à la prise de focus ou à l’activation d’un composant d’interface sont-ils si nécessaire atteignables au clavier ?</t>
  </si>
  <si>
    <t>CONSULTATION</t>
  </si>
  <si>
    <t>13.1</t>
  </si>
  <si>
    <t>Pour chaque page web, l’utilisateur a-t-il le contrôle de chaque limite de temps modifiant le contenu (hors cas particuliers) ?</t>
  </si>
  <si>
    <t>13.2</t>
  </si>
  <si>
    <t>Dans chaque page web, l’ouverture d’une nouvelle fenêtre ne doit pas être déclenchée sans action de l’utilisateur. Cette règle est-elle respectée ?</t>
  </si>
  <si>
    <t>13.3</t>
  </si>
  <si>
    <t>Dans chaque page web, chaque document bureautique en téléchargement possède-t-il, si nécessaire, une version accessible (hors cas particuliers) ?</t>
  </si>
  <si>
    <t>13.4</t>
  </si>
  <si>
    <t>Pour chaque document bureautique ayant une version accessible, cette version offre-t-elle la même information ?</t>
  </si>
  <si>
    <t>13.5</t>
  </si>
  <si>
    <t>Dans chaque page web, chaque contenu cryptique (art ASCII, émoticon, syntaxe cryptique) a-t-il une alternative ?</t>
  </si>
  <si>
    <t>13.6</t>
  </si>
  <si>
    <t>Dans chaque page web, pour chaque contenu cryptique (art ASCII, émoticon, syntaxe cryptique) ayant une alternative, cette alternative est-elle pertinente ?</t>
  </si>
  <si>
    <t>13.7</t>
  </si>
  <si>
    <t>Dans chaque page web, les changements brusques de luminosité ou les effets de flash sont-ils correctement utilisés ?</t>
  </si>
  <si>
    <t>13.8</t>
  </si>
  <si>
    <t>Dans chaque page web, chaque contenu en mouvement ou clignotant est-il contrôlable par l’utilisateur ?</t>
  </si>
  <si>
    <t>13.9</t>
  </si>
  <si>
    <t>Dans chaque page web, le contenu proposé est-il consultable quelle que soit l’orientation de l’écran (portait ou paysage) (hors cas particuliers) ?</t>
  </si>
  <si>
    <t>13.10</t>
  </si>
  <si>
    <t>Dans chaque page web, les fonctionnalités utilisables ou disponibles au moyen d’un geste complexe peuvent-elles être également disponibles au moyen d’un geste simple (hors cas particuliers) ?</t>
  </si>
  <si>
    <t>13.11</t>
  </si>
  <si>
    <t>Dans chaque page web, les actions déclenchées au moyen d’un dispositif de pointage sur un point unique de l’écran peuvent-elles faire l’objet d’une annulation (hors cas particuliers) ?</t>
  </si>
  <si>
    <t>13.12</t>
  </si>
  <si>
    <t>Dans chaque page web, les fonctionnalités qui impliquent un mouvement de l’appareil ou vers l’appareil peuvent-elles être satisfaites de manière alternative (hors cas particuliers) ?</t>
  </si>
  <si>
    <t>Spécificité</t>
  </si>
  <si>
    <t>Source technique</t>
  </si>
  <si>
    <t>Les menus de navigation doivent être structurer avec des listes</t>
  </si>
  <si>
    <t>- https://www.w3.org/WAI/WCAG21/Techniques/aria/ARIA11
- https://www.accede-web.com/notices/html-et-css/structure-generale/structurer-les-menus-de-navigation-avec-des-listes/</t>
  </si>
  <si>
    <t>Le menu burger répond au pattern W3C Disclosure Navigation.
Ainsi le bouton déclencheur (que ce soit celui du hamburger ou celui d'un sous-menu), doit :
  - avoir le rôle "button" (l'élément HTML button suffit)
  - avoir un attribut aria-controls qui référence le container caché identifié (la liste à puce) via son id
  - avoir un aria-expanded : "true" si menu ouvert, "false" si menu fermé
Par ailleurs, le lien correspondant à la page actuelle doit avoir l'attribut aria-current="page".
Le menu burger doit être placé dans une balise nav avec le role "navigation" avec un nom accessible.</t>
  </si>
  <si>
    <t>- https://www.w3.org/WAI/ARIA/apg/patterns/disclosure/examples/disclosure-navigation/
- https://www.accede-web.com/en/guidelines/rich-interface-components/hamburger-menu/</t>
  </si>
  <si>
    <t>Les interactions clavier sont :
  - Tab ou Shift+Tab (inverse) : Déplace le focus parmi les boutons de niveau supérieur/inférieur et, si liste déroulante ouverte, dans et à travers les liens de la liste déroulante =&gt; aucun bouclage
  - Entrée/Espace : Si focus sur le bouton déclencheur (que ce soit le burger menu ou celui d'un sous-menu), ouvre ou ferme le menu correspondant (aria-controls)
  - Echap : Si focus sur une liste déroulante (niveau 1 ou 2), ferme le menu courant =&gt; le sous-menu si focus sur niveau 2, le menu complet si focus sur niveau 1
D'autres interactions clavier (flèches, home et end) sont possibles facultativement =&gt; voir le lien W3C</t>
  </si>
  <si>
    <t>1.0.6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</si>
</sst>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font>
      <sz val="12"/>
      <color theme="1"/>
      <name val="Aptos Narrow"/>
      <family val="2"/>
      <scheme val="minor"/>
    </font>
    <font>
      <sz val="12"/>
      <color theme="1"/>
      <name val="Aptos Narrow"/>
      <family val="2"/>
      <scheme val="minor"/>
    </font>
    <font>
      <b/>
      <sz val="12"/>
      <color rgb="FFFFFFFF"/>
      <name val="Aptos Narrow"/>
      <scheme val="minor"/>
    </font>
    <font>
      <sz val="12"/>
      <color theme="1"/>
      <name val="Aptos Narrow"/>
      <scheme val="minor"/>
    </font>
    <font>
      <b/>
      <sz val="12"/>
      <color rgb="FF000000"/>
      <name val="Aptos Narrow"/>
      <scheme val="minor"/>
    </font>
    <font>
      <sz val="12"/>
      <color rgb="FF000000"/>
      <name val="Aptos Narrow"/>
      <scheme val="minor"/>
    </font>
    <font>
      <sz val="14"/>
      <color theme="1"/>
      <name val="Aptos Narrow"/>
      <family val="2"/>
      <scheme val="minor"/>
    </font>
    <font>
      <b/>
      <sz val="14"/>
      <color theme="0"/>
      <name val="Aptos Narrow"/>
      <family val="2"/>
      <scheme val="minor"/>
    </font>
    <font>
      <sz val="12"/>
      <name val="Aptos Narrow"/>
      <scheme val="minor"/>
    </font>
    <font>
      <sz val="14"/>
      <name val="Aptos Narrow"/>
      <scheme val="minor"/>
    </font>
    <font>
      <sz val="14"/>
      <color theme="1"/>
      <name val="Aptos Narrow"/>
      <scheme val="minor"/>
    </font>
    <font>
      <sz val="12"/>
      <color theme="0"/>
      <name val="Aptos Narrow"/>
      <scheme val="minor"/>
    </font>
    <font>
      <b/>
      <sz val="14"/>
      <name val="Aptos Narrow"/>
      <scheme val="minor"/>
    </font>
    <font>
      <b/>
      <sz val="14"/>
      <color theme="1"/>
      <name val="Aptos Narrow"/>
      <scheme val="minor"/>
    </font>
    <font>
      <sz val="12"/>
      <color rgb="FF006100"/>
      <name val="Aptos Narrow"/>
      <scheme val="minor"/>
    </font>
    <font>
      <sz val="12"/>
      <color theme="9" tint="-0.499984740745262"/>
      <name val="Aptos Narrow"/>
      <scheme val="minor"/>
    </font>
    <font>
      <b/>
      <sz val="13.5"/>
      <color rgb="FF000000"/>
      <name val="Aptos Narrow"/>
    </font>
    <font>
      <sz val="13.5"/>
      <color rgb="FF000000"/>
      <name val="Aptos Narrow"/>
    </font>
  </fonts>
  <fills count="8">
    <fill>
      <patternFill patternType="none"/>
    </fill>
    <fill>
      <patternFill patternType="gray125"/>
    </fill>
    <fill>
      <patternFill patternType="solid">
        <fgColor theme="0"/>
        <bgColor indexed="64"/>
      </patternFill>
    </fill>
    <fill>
      <patternFill patternType="solid">
        <fgColor rgb="FF000091"/>
        <bgColor indexed="64"/>
      </patternFill>
    </fill>
    <fill>
      <patternFill patternType="solid">
        <fgColor rgb="FF000091"/>
        <bgColor rgb="FF2D77D0"/>
      </patternFill>
    </fill>
    <fill>
      <patternFill patternType="solid">
        <fgColor rgb="FF000091"/>
        <bgColor rgb="FFC81A71"/>
      </patternFill>
    </fill>
    <fill>
      <patternFill patternType="solid">
        <fgColor rgb="FFC6EFCE"/>
        <bgColor rgb="FF000000"/>
      </patternFill>
    </fill>
    <fill>
      <patternFill patternType="solid">
        <fgColor rgb="FFC6EFCE"/>
        <bgColor indexed="64"/>
      </patternFill>
    </fill>
  </fills>
  <borders count="13">
    <border>
      <left/>
      <right/>
      <top/>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style="thin">
        <color rgb="FF000000"/>
      </right>
      <top/>
      <bottom/>
      <diagonal/>
    </border>
    <border>
      <left style="thin">
        <color rgb="FF000000"/>
      </left>
      <right style="thin">
        <color rgb="FF000000"/>
      </right>
      <top style="thin">
        <color rgb="FF000000"/>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rgb="FF000000"/>
      </left>
      <right style="thin">
        <color rgb="FF000000"/>
      </right>
      <top style="thin">
        <color rgb="FF000000"/>
      </top>
      <bottom style="thin">
        <color rgb="FF000000"/>
      </bottom>
      <diagonal/>
    </border>
  </borders>
  <cellStyleXfs count="2">
    <xf numFmtId="0" fontId="0" fillId="0" borderId="0"/>
    <xf numFmtId="9" fontId="1" fillId="0" borderId="0" applyFont="0" applyFill="0" applyBorder="0" applyAlignment="0" applyProtection="0"/>
  </cellStyleXfs>
  <cellXfs count="44">
    <xf numFmtId="0" fontId="0" fillId="0" borderId="0" xfId="0"/>
    <xf numFmtId="0" fontId="3" fillId="0" borderId="0" xfId="0" applyFont="1"/>
    <xf numFmtId="0" fontId="4" fillId="0" borderId="2" xfId="0" applyFont="1" applyBorder="1" applyAlignment="1">
      <alignment horizontal="center" vertical="center" wrapText="1"/>
    </xf>
    <xf numFmtId="0" fontId="5" fillId="0" borderId="2" xfId="0" applyFont="1" applyBorder="1" applyAlignment="1">
      <alignment horizontal="left" vertical="center" wrapText="1"/>
    </xf>
    <xf numFmtId="0" fontId="7" fillId="3" borderId="5" xfId="0" applyFont="1" applyFill="1" applyBorder="1"/>
    <xf numFmtId="0" fontId="6" fillId="2" borderId="6" xfId="0" applyFont="1" applyFill="1" applyBorder="1" applyAlignment="1">
      <alignment horizontal="left" vertical="top"/>
    </xf>
    <xf numFmtId="0" fontId="7" fillId="3" borderId="7" xfId="0" applyFont="1" applyFill="1" applyBorder="1"/>
    <xf numFmtId="0" fontId="8" fillId="0" borderId="0" xfId="0" applyFont="1" applyAlignment="1">
      <alignment horizontal="center" vertical="center" wrapText="1"/>
    </xf>
    <xf numFmtId="14" fontId="10" fillId="0" borderId="5" xfId="0" applyNumberFormat="1" applyFont="1" applyBorder="1"/>
    <xf numFmtId="0" fontId="10" fillId="0" borderId="5" xfId="0" applyFont="1" applyBorder="1"/>
    <xf numFmtId="0" fontId="11" fillId="3" borderId="5" xfId="0" applyFont="1" applyFill="1" applyBorder="1"/>
    <xf numFmtId="0" fontId="3" fillId="0" borderId="5" xfId="0" applyFont="1" applyBorder="1" applyAlignment="1">
      <alignment horizontal="left" vertical="top" wrapText="1"/>
    </xf>
    <xf numFmtId="0" fontId="3" fillId="0" borderId="5" xfId="0" quotePrefix="1" applyFont="1" applyBorder="1" applyAlignment="1">
      <alignment horizontal="left" vertical="top" wrapText="1"/>
    </xf>
    <xf numFmtId="0" fontId="10" fillId="0" borderId="5" xfId="0" applyFont="1" applyBorder="1" applyAlignment="1">
      <alignment horizontal="right" vertical="top"/>
    </xf>
    <xf numFmtId="9" fontId="13" fillId="0" borderId="5" xfId="1" applyFont="1" applyFill="1" applyBorder="1"/>
    <xf numFmtId="0" fontId="7" fillId="3" borderId="11" xfId="0" applyFont="1" applyFill="1" applyBorder="1"/>
    <xf numFmtId="0" fontId="3" fillId="0" borderId="5" xfId="0" applyFont="1" applyBorder="1"/>
    <xf numFmtId="0" fontId="13" fillId="0" borderId="5" xfId="0" applyFont="1" applyBorder="1" applyAlignment="1">
      <alignment horizontal="right"/>
    </xf>
    <xf numFmtId="0" fontId="14" fillId="6" borderId="5" xfId="0" applyFont="1" applyFill="1" applyBorder="1" applyAlignment="1">
      <alignment horizontal="left" vertical="top" wrapText="1"/>
    </xf>
    <xf numFmtId="0" fontId="3" fillId="2" borderId="5" xfId="0" applyFont="1" applyFill="1" applyBorder="1" applyAlignment="1">
      <alignment horizontal="left" vertical="top" wrapText="1"/>
    </xf>
    <xf numFmtId="0" fontId="15" fillId="7" borderId="5" xfId="0" applyFont="1" applyFill="1" applyBorder="1" applyAlignment="1">
      <alignment horizontal="left" vertical="top" wrapText="1"/>
    </xf>
    <xf numFmtId="0" fontId="15" fillId="7" borderId="5" xfId="0" applyFont="1" applyFill="1" applyBorder="1" applyAlignment="1">
      <alignment vertical="top" wrapText="1"/>
    </xf>
    <xf numFmtId="14" fontId="17" fillId="0" borderId="1" xfId="0" applyNumberFormat="1" applyFont="1" applyBorder="1"/>
    <xf numFmtId="0" fontId="17" fillId="0" borderId="12" xfId="0" applyFont="1" applyBorder="1"/>
    <xf numFmtId="9" fontId="16" fillId="0" borderId="12" xfId="0" applyNumberFormat="1" applyFont="1" applyBorder="1"/>
    <xf numFmtId="0" fontId="16" fillId="0" borderId="12" xfId="0" applyFont="1" applyBorder="1" applyAlignment="1">
      <alignment horizontal="right"/>
    </xf>
    <xf numFmtId="0" fontId="3" fillId="0" borderId="6" xfId="0" applyFont="1" applyBorder="1" applyAlignment="1">
      <alignment horizontal="left" vertical="top" wrapText="1"/>
    </xf>
    <xf numFmtId="0" fontId="3" fillId="0" borderId="9" xfId="0" applyFont="1" applyBorder="1" applyAlignment="1">
      <alignment horizontal="left" vertical="top" wrapText="1"/>
    </xf>
    <xf numFmtId="0" fontId="3" fillId="0" borderId="10" xfId="0" applyFont="1" applyBorder="1" applyAlignment="1">
      <alignment horizontal="left" vertical="top" wrapText="1"/>
    </xf>
    <xf numFmtId="0" fontId="2" fillId="5" borderId="0" xfId="0" applyFont="1" applyFill="1" applyAlignment="1">
      <alignment horizontal="center" vertical="center" wrapText="1"/>
    </xf>
    <xf numFmtId="0" fontId="9" fillId="0" borderId="5" xfId="0" applyFont="1" applyBorder="1" applyAlignment="1">
      <alignment horizontal="left" vertical="top" wrapText="1"/>
    </xf>
    <xf numFmtId="0" fontId="9" fillId="0" borderId="6" xfId="0" applyFont="1" applyBorder="1" applyAlignment="1">
      <alignment horizontal="left" vertical="top" wrapText="1"/>
    </xf>
    <xf numFmtId="0" fontId="9" fillId="0" borderId="9" xfId="0" applyFont="1" applyBorder="1" applyAlignment="1">
      <alignment horizontal="left" vertical="top" wrapText="1"/>
    </xf>
    <xf numFmtId="0" fontId="9" fillId="0" borderId="10" xfId="0" applyFont="1" applyBorder="1" applyAlignment="1">
      <alignment horizontal="left" vertical="top" wrapText="1"/>
    </xf>
    <xf numFmtId="0" fontId="12" fillId="0" borderId="5" xfId="0" applyFont="1" applyBorder="1" applyAlignment="1">
      <alignment horizontal="left" vertical="center" wrapText="1"/>
    </xf>
    <xf numFmtId="0" fontId="12" fillId="0" borderId="6" xfId="0" applyFont="1" applyBorder="1" applyAlignment="1">
      <alignment horizontal="left" vertical="top" wrapText="1"/>
    </xf>
    <xf numFmtId="0" fontId="12" fillId="0" borderId="9" xfId="0" applyFont="1" applyBorder="1" applyAlignment="1">
      <alignment horizontal="left" vertical="top" wrapText="1"/>
    </xf>
    <xf numFmtId="0" fontId="12" fillId="0" borderId="10" xfId="0" applyFont="1" applyBorder="1" applyAlignment="1">
      <alignment horizontal="left" vertical="top" wrapText="1"/>
    </xf>
    <xf numFmtId="0" fontId="2" fillId="4" borderId="8" xfId="0" applyFont="1" applyFill="1" applyBorder="1" applyAlignment="1">
      <alignment horizontal="center" vertical="center" textRotation="90" wrapText="1"/>
    </xf>
    <xf numFmtId="0" fontId="2" fillId="4" borderId="3" xfId="0" applyFont="1" applyFill="1" applyBorder="1" applyAlignment="1">
      <alignment horizontal="center" vertical="center" textRotation="90" wrapText="1"/>
    </xf>
    <xf numFmtId="0" fontId="2" fillId="4" borderId="1" xfId="0" applyFont="1" applyFill="1" applyBorder="1" applyAlignment="1">
      <alignment horizontal="center" vertical="center" textRotation="90" wrapText="1"/>
    </xf>
    <xf numFmtId="0" fontId="2" fillId="4" borderId="4" xfId="0" applyFont="1" applyFill="1" applyBorder="1" applyAlignment="1">
      <alignment horizontal="center" vertical="center" textRotation="90" wrapText="1"/>
    </xf>
    <xf numFmtId="0" fontId="11" fillId="3" borderId="5" xfId="0" applyFont="1" applyFill="1" applyBorder="1" applyAlignment="1">
      <alignment horizontal="left"/>
    </xf>
    <xf numFmtId="0" fontId="10" fillId="0" borderId="0" xfId="0" applyFont="1" applyAlignment="1">
      <alignment horizontal="right"/>
    </xf>
  </cellXfs>
  <cellStyles count="2">
    <cellStyle name="Normal" xfId="0" builtinId="0"/>
    <cellStyle name="Pourcentage" xfId="1" builtinId="5"/>
  </cellStyles>
  <dxfs count="20">
    <dxf>
      <font>
        <color rgb="FF9C0006"/>
      </font>
      <fill>
        <patternFill>
          <bgColor rgb="FFFFC7CE"/>
        </patternFill>
      </fill>
    </dxf>
    <dxf>
      <font>
        <color rgb="FF006100"/>
      </font>
      <fill>
        <patternFill>
          <bgColor rgb="FFC6EFCE"/>
        </patternFill>
      </fill>
    </dxf>
    <dxf>
      <font>
        <color theme="8" tint="-0.24994659260841701"/>
      </font>
      <fill>
        <patternFill>
          <bgColor theme="8" tint="0.79998168889431442"/>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theme="8" tint="-0.24994659260841701"/>
      </font>
      <fill>
        <patternFill>
          <bgColor theme="8" tint="0.79998168889431442"/>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theme="8" tint="-0.24994659260841701"/>
      </font>
      <fill>
        <patternFill>
          <bgColor theme="8" tint="0.79998168889431442"/>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theme="8" tint="-0.24994659260841701"/>
      </font>
      <fill>
        <patternFill>
          <bgColor theme="8" tint="0.79998168889431442"/>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theme="8" tint="-0.24994659260841701"/>
      </font>
      <fill>
        <patternFill>
          <bgColor theme="8" tint="0.79998168889431442"/>
        </patternFill>
      </fill>
    </dxf>
    <dxf>
      <font>
        <color rgb="FF9C5700"/>
      </font>
      <fill>
        <patternFill>
          <bgColor rgb="FFFFEB9C"/>
        </patternFill>
      </fill>
    </dxf>
  </dxfs>
  <tableStyles count="0" defaultTableStyle="TableStyleMedium2" defaultPivotStyle="PivotStyleLight16"/>
  <colors>
    <mruColors>
      <color rgb="FFC6EFCE"/>
      <color rgb="FF00009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26"/>
  <sheetViews>
    <sheetView tabSelected="1" zoomScale="110" zoomScaleNormal="110" workbookViewId="0">
      <selection activeCell="E7" sqref="E7"/>
    </sheetView>
  </sheetViews>
  <sheetFormatPr baseColWidth="10" defaultColWidth="10.83203125" defaultRowHeight="16"/>
  <cols>
    <col min="1" max="1" width="15" style="1" customWidth="1"/>
    <col min="2" max="2" width="10.33203125" style="1" bestFit="1" customWidth="1"/>
    <col min="3" max="3" width="59.83203125" style="1" customWidth="1"/>
    <col min="4" max="4" width="15.1640625" style="1" bestFit="1" customWidth="1"/>
    <col min="5" max="5" width="115.1640625" style="1" customWidth="1"/>
    <col min="6" max="6" width="17.1640625" style="1" customWidth="1"/>
    <col min="7" max="16384" width="10.83203125" style="1"/>
  </cols>
  <sheetData>
    <row r="1" spans="1:6" ht="32" customHeight="1">
      <c r="A1" s="29" t="s">
        <v>0</v>
      </c>
      <c r="B1" s="29"/>
      <c r="C1" s="29"/>
      <c r="D1" s="29"/>
    </row>
    <row r="2" spans="1:6" ht="19">
      <c r="A2" s="34" t="s">
        <v>1</v>
      </c>
      <c r="B2" s="34"/>
      <c r="C2" s="34"/>
      <c r="D2" s="17" t="s">
        <v>2</v>
      </c>
      <c r="E2" s="25" t="s">
        <v>3</v>
      </c>
    </row>
    <row r="3" spans="1:6" ht="19">
      <c r="A3" s="30" t="s">
        <v>4</v>
      </c>
      <c r="B3" s="30"/>
      <c r="C3" s="30"/>
      <c r="D3" s="8">
        <v>45841</v>
      </c>
      <c r="E3" s="22">
        <v>45873</v>
      </c>
    </row>
    <row r="4" spans="1:6" ht="19">
      <c r="A4" s="31" t="s">
        <v>5</v>
      </c>
      <c r="B4" s="32"/>
      <c r="C4" s="33"/>
      <c r="D4" s="13" t="s">
        <v>6</v>
      </c>
      <c r="E4" s="43" t="s">
        <v>286</v>
      </c>
    </row>
    <row r="5" spans="1:6" ht="16" customHeight="1">
      <c r="A5" s="30" t="s">
        <v>7</v>
      </c>
      <c r="B5" s="30"/>
      <c r="C5" s="30"/>
      <c r="D5" s="9">
        <f xml:space="preserve"> COUNTIF($D$14:$D$119,"Conforme")</f>
        <v>12</v>
      </c>
      <c r="E5" s="23">
        <v>21</v>
      </c>
    </row>
    <row r="6" spans="1:6" ht="19">
      <c r="A6" s="30" t="s">
        <v>8</v>
      </c>
      <c r="B6" s="30"/>
      <c r="C6" s="30"/>
      <c r="D6" s="9">
        <f xml:space="preserve"> COUNTIF($D$14:$D$119,"Non conforme")</f>
        <v>9</v>
      </c>
      <c r="E6" s="23">
        <v>0</v>
      </c>
    </row>
    <row r="7" spans="1:6" ht="19">
      <c r="A7" s="30" t="s">
        <v>9</v>
      </c>
      <c r="B7" s="30"/>
      <c r="C7" s="30"/>
      <c r="D7" s="9">
        <f xml:space="preserve"> COUNTIF($D$14:$D$119,"Non applicable")</f>
        <v>85</v>
      </c>
      <c r="E7" s="23">
        <v>85</v>
      </c>
    </row>
    <row r="8" spans="1:6" ht="19">
      <c r="A8" s="30" t="s">
        <v>10</v>
      </c>
      <c r="B8" s="30"/>
      <c r="C8" s="30"/>
      <c r="D8" s="9">
        <f xml:space="preserve"> COUNTIF($D$14:$D$119,"Dérogé")</f>
        <v>0</v>
      </c>
      <c r="E8" s="23">
        <v>0</v>
      </c>
    </row>
    <row r="9" spans="1:6" ht="19">
      <c r="A9" s="30" t="s">
        <v>11</v>
      </c>
      <c r="B9" s="30"/>
      <c r="C9" s="30"/>
      <c r="D9" s="9">
        <f xml:space="preserve"> COUNTIF($D$14:$D$119,"Non testé")</f>
        <v>0</v>
      </c>
      <c r="E9" s="23">
        <v>0</v>
      </c>
    </row>
    <row r="10" spans="1:6" ht="19" customHeight="1">
      <c r="A10" s="35" t="s">
        <v>12</v>
      </c>
      <c r="B10" s="36"/>
      <c r="C10" s="37"/>
      <c r="D10" s="14">
        <f>IF(SUM(D5:D6)&gt;0,D5/SUM(D5:D6),"")</f>
        <v>0.5714285714285714</v>
      </c>
      <c r="E10" s="24">
        <v>1</v>
      </c>
    </row>
    <row r="11" spans="1:6" ht="19" customHeight="1">
      <c r="A11" s="35" t="s">
        <v>13</v>
      </c>
      <c r="B11" s="36"/>
      <c r="C11" s="37"/>
      <c r="D11" s="14">
        <f>IF(SUM(D5:D6)&gt;0,1-ROUND(D10,2),"")</f>
        <v>0.43000000000000005</v>
      </c>
      <c r="E11" s="24">
        <v>0</v>
      </c>
    </row>
    <row r="12" spans="1:6">
      <c r="A12" s="7"/>
      <c r="B12" s="7"/>
      <c r="C12" s="7"/>
    </row>
    <row r="13" spans="1:6" ht="19">
      <c r="A13" s="4" t="s">
        <v>14</v>
      </c>
      <c r="B13" s="4" t="s">
        <v>15</v>
      </c>
      <c r="C13" s="4" t="s">
        <v>16</v>
      </c>
      <c r="D13" s="4" t="s">
        <v>17</v>
      </c>
      <c r="E13" s="6" t="s">
        <v>18</v>
      </c>
      <c r="F13" s="15" t="s">
        <v>19</v>
      </c>
    </row>
    <row r="14" spans="1:6" ht="34">
      <c r="A14" s="38" t="s">
        <v>20</v>
      </c>
      <c r="B14" s="2" t="s">
        <v>21</v>
      </c>
      <c r="C14" s="3" t="s">
        <v>22</v>
      </c>
      <c r="D14" s="5" t="s">
        <v>23</v>
      </c>
      <c r="E14" s="11"/>
      <c r="F14" s="16"/>
    </row>
    <row r="15" spans="1:6" ht="68">
      <c r="A15" s="39"/>
      <c r="B15" s="2" t="s">
        <v>24</v>
      </c>
      <c r="C15" s="3" t="s">
        <v>25</v>
      </c>
      <c r="D15" s="5" t="s">
        <v>26</v>
      </c>
      <c r="E15" s="12" t="s">
        <v>27</v>
      </c>
      <c r="F15" s="20" t="s">
        <v>28</v>
      </c>
    </row>
    <row r="16" spans="1:6" ht="34">
      <c r="A16" s="39"/>
      <c r="B16" s="2" t="s">
        <v>29</v>
      </c>
      <c r="C16" s="3" t="s">
        <v>30</v>
      </c>
      <c r="D16" s="5" t="s">
        <v>23</v>
      </c>
      <c r="E16" s="11"/>
      <c r="F16" s="16"/>
    </row>
    <row r="17" spans="1:6" ht="51">
      <c r="A17" s="39"/>
      <c r="B17" s="2" t="s">
        <v>31</v>
      </c>
      <c r="C17" s="3" t="s">
        <v>32</v>
      </c>
      <c r="D17" s="5" t="s">
        <v>23</v>
      </c>
      <c r="E17" s="11"/>
      <c r="F17" s="16"/>
    </row>
    <row r="18" spans="1:6" ht="34">
      <c r="A18" s="39"/>
      <c r="B18" s="2" t="s">
        <v>33</v>
      </c>
      <c r="C18" s="3" t="s">
        <v>34</v>
      </c>
      <c r="D18" s="5" t="s">
        <v>23</v>
      </c>
      <c r="E18" s="11"/>
      <c r="F18" s="16"/>
    </row>
    <row r="19" spans="1:6" ht="34">
      <c r="A19" s="39"/>
      <c r="B19" s="2" t="s">
        <v>35</v>
      </c>
      <c r="C19" s="3" t="s">
        <v>36</v>
      </c>
      <c r="D19" s="5" t="s">
        <v>23</v>
      </c>
      <c r="E19" s="11"/>
      <c r="F19" s="16"/>
    </row>
    <row r="20" spans="1:6" ht="34">
      <c r="A20" s="39"/>
      <c r="B20" s="2" t="s">
        <v>37</v>
      </c>
      <c r="C20" s="3" t="s">
        <v>38</v>
      </c>
      <c r="D20" s="5" t="s">
        <v>23</v>
      </c>
      <c r="E20" s="11"/>
      <c r="F20" s="16"/>
    </row>
    <row r="21" spans="1:6" ht="51">
      <c r="A21" s="39"/>
      <c r="B21" s="2" t="s">
        <v>39</v>
      </c>
      <c r="C21" s="3" t="s">
        <v>40</v>
      </c>
      <c r="D21" s="5" t="s">
        <v>23</v>
      </c>
      <c r="E21" s="11"/>
      <c r="F21" s="16"/>
    </row>
    <row r="22" spans="1:6" ht="34">
      <c r="A22" s="40"/>
      <c r="B22" s="2" t="s">
        <v>41</v>
      </c>
      <c r="C22" s="3" t="s">
        <v>42</v>
      </c>
      <c r="D22" s="5" t="s">
        <v>23</v>
      </c>
      <c r="E22" s="11"/>
      <c r="F22" s="16"/>
    </row>
    <row r="23" spans="1:6" ht="19">
      <c r="A23" s="41" t="s">
        <v>43</v>
      </c>
      <c r="B23" s="2" t="s">
        <v>44</v>
      </c>
      <c r="C23" s="3" t="s">
        <v>45</v>
      </c>
      <c r="D23" s="5" t="s">
        <v>23</v>
      </c>
      <c r="E23" s="11"/>
      <c r="F23" s="16"/>
    </row>
    <row r="24" spans="1:6" ht="34">
      <c r="A24" s="40"/>
      <c r="B24" s="2" t="s">
        <v>46</v>
      </c>
      <c r="C24" s="3" t="s">
        <v>47</v>
      </c>
      <c r="D24" s="5" t="s">
        <v>23</v>
      </c>
      <c r="E24" s="11"/>
      <c r="F24" s="16"/>
    </row>
    <row r="25" spans="1:6" ht="34">
      <c r="A25" s="41" t="s">
        <v>48</v>
      </c>
      <c r="B25" s="2" t="s">
        <v>49</v>
      </c>
      <c r="C25" s="3" t="s">
        <v>50</v>
      </c>
      <c r="D25" s="5" t="s">
        <v>23</v>
      </c>
      <c r="E25" s="11"/>
      <c r="F25" s="16"/>
    </row>
    <row r="26" spans="1:6" ht="187">
      <c r="A26" s="39"/>
      <c r="B26" s="2" t="s">
        <v>51</v>
      </c>
      <c r="C26" s="3" t="s">
        <v>52</v>
      </c>
      <c r="D26" s="5" t="s">
        <v>53</v>
      </c>
      <c r="E26" s="11" t="s">
        <v>54</v>
      </c>
      <c r="F26" s="16"/>
    </row>
    <row r="27" spans="1:6" ht="85">
      <c r="A27" s="40"/>
      <c r="B27" s="2" t="s">
        <v>55</v>
      </c>
      <c r="C27" s="3" t="s">
        <v>56</v>
      </c>
      <c r="D27" s="5" t="s">
        <v>53</v>
      </c>
      <c r="E27" s="11" t="s">
        <v>57</v>
      </c>
      <c r="F27" s="16"/>
    </row>
    <row r="28" spans="1:6" ht="34">
      <c r="A28" s="41" t="s">
        <v>58</v>
      </c>
      <c r="B28" s="2" t="s">
        <v>59</v>
      </c>
      <c r="C28" s="3" t="s">
        <v>60</v>
      </c>
      <c r="D28" s="5" t="s">
        <v>23</v>
      </c>
      <c r="E28" s="11"/>
      <c r="F28" s="16"/>
    </row>
    <row r="29" spans="1:6" ht="51">
      <c r="A29" s="39"/>
      <c r="B29" s="2" t="s">
        <v>61</v>
      </c>
      <c r="C29" s="3" t="s">
        <v>62</v>
      </c>
      <c r="D29" s="5" t="s">
        <v>23</v>
      </c>
      <c r="E29" s="11"/>
      <c r="F29" s="16"/>
    </row>
    <row r="30" spans="1:6" ht="34">
      <c r="A30" s="39"/>
      <c r="B30" s="2" t="s">
        <v>63</v>
      </c>
      <c r="C30" s="3" t="s">
        <v>64</v>
      </c>
      <c r="D30" s="5" t="s">
        <v>23</v>
      </c>
      <c r="E30" s="11"/>
      <c r="F30" s="16"/>
    </row>
    <row r="31" spans="1:6" ht="34">
      <c r="A31" s="39"/>
      <c r="B31" s="2" t="s">
        <v>65</v>
      </c>
      <c r="C31" s="3" t="s">
        <v>66</v>
      </c>
      <c r="D31" s="5" t="s">
        <v>23</v>
      </c>
      <c r="E31" s="11"/>
      <c r="F31" s="16"/>
    </row>
    <row r="32" spans="1:6" ht="34">
      <c r="A32" s="39"/>
      <c r="B32" s="2" t="s">
        <v>67</v>
      </c>
      <c r="C32" s="3" t="s">
        <v>68</v>
      </c>
      <c r="D32" s="5" t="s">
        <v>23</v>
      </c>
      <c r="E32" s="11"/>
      <c r="F32" s="16"/>
    </row>
    <row r="33" spans="1:6" ht="34">
      <c r="A33" s="39"/>
      <c r="B33" s="2" t="s">
        <v>69</v>
      </c>
      <c r="C33" s="3" t="s">
        <v>70</v>
      </c>
      <c r="D33" s="5" t="s">
        <v>23</v>
      </c>
      <c r="E33" s="11"/>
      <c r="F33" s="16"/>
    </row>
    <row r="34" spans="1:6" ht="34">
      <c r="A34" s="39"/>
      <c r="B34" s="2" t="s">
        <v>71</v>
      </c>
      <c r="C34" s="3" t="s">
        <v>72</v>
      </c>
      <c r="D34" s="5" t="s">
        <v>23</v>
      </c>
      <c r="E34" s="11"/>
      <c r="F34" s="16"/>
    </row>
    <row r="35" spans="1:6" ht="34">
      <c r="A35" s="39"/>
      <c r="B35" s="2" t="s">
        <v>73</v>
      </c>
      <c r="C35" s="3" t="s">
        <v>74</v>
      </c>
      <c r="D35" s="5" t="s">
        <v>23</v>
      </c>
      <c r="E35" s="11"/>
      <c r="F35" s="16"/>
    </row>
    <row r="36" spans="1:6" ht="34">
      <c r="A36" s="39"/>
      <c r="B36" s="2" t="s">
        <v>75</v>
      </c>
      <c r="C36" s="3" t="s">
        <v>76</v>
      </c>
      <c r="D36" s="5" t="s">
        <v>23</v>
      </c>
      <c r="E36" s="11"/>
      <c r="F36" s="16"/>
    </row>
    <row r="37" spans="1:6" ht="34">
      <c r="A37" s="39"/>
      <c r="B37" s="2" t="s">
        <v>77</v>
      </c>
      <c r="C37" s="3" t="s">
        <v>78</v>
      </c>
      <c r="D37" s="5" t="s">
        <v>23</v>
      </c>
      <c r="E37" s="11"/>
      <c r="F37" s="16"/>
    </row>
    <row r="38" spans="1:6" ht="34">
      <c r="A38" s="39"/>
      <c r="B38" s="2" t="s">
        <v>79</v>
      </c>
      <c r="C38" s="3" t="s">
        <v>80</v>
      </c>
      <c r="D38" s="5" t="s">
        <v>23</v>
      </c>
      <c r="E38" s="11"/>
      <c r="F38" s="16"/>
    </row>
    <row r="39" spans="1:6" ht="34">
      <c r="A39" s="39"/>
      <c r="B39" s="2" t="s">
        <v>81</v>
      </c>
      <c r="C39" s="3" t="s">
        <v>82</v>
      </c>
      <c r="D39" s="5" t="s">
        <v>23</v>
      </c>
      <c r="E39" s="11"/>
      <c r="F39" s="16"/>
    </row>
    <row r="40" spans="1:6" ht="34">
      <c r="A40" s="40"/>
      <c r="B40" s="2" t="s">
        <v>83</v>
      </c>
      <c r="C40" s="3" t="s">
        <v>84</v>
      </c>
      <c r="D40" s="5" t="s">
        <v>23</v>
      </c>
      <c r="E40" s="11"/>
      <c r="F40" s="16"/>
    </row>
    <row r="41" spans="1:6" ht="19">
      <c r="A41" s="41" t="s">
        <v>85</v>
      </c>
      <c r="B41" s="2" t="s">
        <v>86</v>
      </c>
      <c r="C41" s="3" t="s">
        <v>87</v>
      </c>
      <c r="D41" s="5" t="s">
        <v>23</v>
      </c>
      <c r="E41" s="11"/>
      <c r="F41" s="16"/>
    </row>
    <row r="42" spans="1:6" ht="34">
      <c r="A42" s="39"/>
      <c r="B42" s="2" t="s">
        <v>88</v>
      </c>
      <c r="C42" s="3" t="s">
        <v>89</v>
      </c>
      <c r="D42" s="5" t="s">
        <v>23</v>
      </c>
      <c r="E42" s="11"/>
      <c r="F42" s="16"/>
    </row>
    <row r="43" spans="1:6" ht="34">
      <c r="A43" s="39"/>
      <c r="B43" s="2" t="s">
        <v>90</v>
      </c>
      <c r="C43" s="3" t="s">
        <v>91</v>
      </c>
      <c r="D43" s="5" t="s">
        <v>23</v>
      </c>
      <c r="E43" s="11"/>
      <c r="F43" s="16"/>
    </row>
    <row r="44" spans="1:6" ht="34">
      <c r="A44" s="39"/>
      <c r="B44" s="2" t="s">
        <v>92</v>
      </c>
      <c r="C44" s="3" t="s">
        <v>93</v>
      </c>
      <c r="D44" s="5" t="s">
        <v>23</v>
      </c>
      <c r="E44" s="11"/>
      <c r="F44" s="16"/>
    </row>
    <row r="45" spans="1:6" ht="34">
      <c r="A45" s="39"/>
      <c r="B45" s="2" t="s">
        <v>94</v>
      </c>
      <c r="C45" s="3" t="s">
        <v>95</v>
      </c>
      <c r="D45" s="5" t="s">
        <v>23</v>
      </c>
      <c r="E45" s="11"/>
      <c r="F45" s="16"/>
    </row>
    <row r="46" spans="1:6" ht="34">
      <c r="A46" s="39"/>
      <c r="B46" s="2" t="s">
        <v>96</v>
      </c>
      <c r="C46" s="3" t="s">
        <v>97</v>
      </c>
      <c r="D46" s="5" t="s">
        <v>23</v>
      </c>
      <c r="E46" s="11"/>
      <c r="F46" s="16"/>
    </row>
    <row r="47" spans="1:6" ht="51">
      <c r="A47" s="39"/>
      <c r="B47" s="2" t="s">
        <v>98</v>
      </c>
      <c r="C47" s="3" t="s">
        <v>99</v>
      </c>
      <c r="D47" s="5" t="s">
        <v>23</v>
      </c>
      <c r="E47" s="11"/>
      <c r="F47" s="16"/>
    </row>
    <row r="48" spans="1:6" ht="34">
      <c r="A48" s="40"/>
      <c r="B48" s="2" t="s">
        <v>100</v>
      </c>
      <c r="C48" s="3" t="s">
        <v>101</v>
      </c>
      <c r="D48" s="5" t="s">
        <v>23</v>
      </c>
      <c r="E48" s="11"/>
      <c r="F48" s="16"/>
    </row>
    <row r="49" spans="1:6" ht="19">
      <c r="A49" s="41" t="s">
        <v>102</v>
      </c>
      <c r="B49" s="2" t="s">
        <v>103</v>
      </c>
      <c r="C49" s="3" t="s">
        <v>104</v>
      </c>
      <c r="D49" s="5" t="s">
        <v>23</v>
      </c>
      <c r="E49" s="11" t="s">
        <v>105</v>
      </c>
      <c r="F49" s="16"/>
    </row>
    <row r="50" spans="1:6" ht="19">
      <c r="A50" s="40"/>
      <c r="B50" s="2" t="s">
        <v>106</v>
      </c>
      <c r="C50" s="3" t="s">
        <v>107</v>
      </c>
      <c r="D50" s="5" t="s">
        <v>23</v>
      </c>
      <c r="E50" s="11" t="s">
        <v>108</v>
      </c>
      <c r="F50" s="16"/>
    </row>
    <row r="51" spans="1:6" ht="409.6">
      <c r="A51" s="41" t="s">
        <v>109</v>
      </c>
      <c r="B51" s="2" t="s">
        <v>110</v>
      </c>
      <c r="C51" s="3" t="s">
        <v>111</v>
      </c>
      <c r="D51" s="5" t="s">
        <v>26</v>
      </c>
      <c r="E51" s="11" t="s">
        <v>112</v>
      </c>
      <c r="F51" s="21" t="s">
        <v>113</v>
      </c>
    </row>
    <row r="52" spans="1:6" ht="34">
      <c r="A52" s="39"/>
      <c r="B52" s="2" t="s">
        <v>114</v>
      </c>
      <c r="C52" s="3" t="s">
        <v>115</v>
      </c>
      <c r="D52" s="5" t="s">
        <v>23</v>
      </c>
      <c r="E52" s="11"/>
      <c r="F52" s="16"/>
    </row>
    <row r="53" spans="1:6" ht="221" customHeight="1">
      <c r="A53" s="39"/>
      <c r="B53" s="2" t="s">
        <v>116</v>
      </c>
      <c r="C53" s="3" t="s">
        <v>117</v>
      </c>
      <c r="D53" s="5" t="s">
        <v>26</v>
      </c>
      <c r="E53" s="11" t="s">
        <v>118</v>
      </c>
      <c r="F53" s="20" t="s">
        <v>119</v>
      </c>
    </row>
    <row r="54" spans="1:6" ht="34">
      <c r="A54" s="39"/>
      <c r="B54" s="2" t="s">
        <v>120</v>
      </c>
      <c r="C54" s="3" t="s">
        <v>121</v>
      </c>
      <c r="D54" s="5" t="s">
        <v>23</v>
      </c>
      <c r="E54" s="11"/>
      <c r="F54" s="16"/>
    </row>
    <row r="55" spans="1:6" ht="34">
      <c r="A55" s="40"/>
      <c r="B55" s="2" t="s">
        <v>122</v>
      </c>
      <c r="C55" s="3" t="s">
        <v>123</v>
      </c>
      <c r="D55" s="5" t="s">
        <v>23</v>
      </c>
      <c r="E55" s="11"/>
      <c r="F55" s="16"/>
    </row>
    <row r="56" spans="1:6" ht="19">
      <c r="A56" s="41" t="s">
        <v>124</v>
      </c>
      <c r="B56" s="2" t="s">
        <v>125</v>
      </c>
      <c r="C56" s="3" t="s">
        <v>126</v>
      </c>
      <c r="D56" s="5" t="s">
        <v>23</v>
      </c>
      <c r="E56" s="11"/>
      <c r="F56" s="16"/>
    </row>
    <row r="57" spans="1:6" ht="34">
      <c r="A57" s="39"/>
      <c r="B57" s="2" t="s">
        <v>127</v>
      </c>
      <c r="C57" s="3" t="s">
        <v>128</v>
      </c>
      <c r="D57" s="5" t="s">
        <v>26</v>
      </c>
      <c r="E57" s="11" t="s">
        <v>129</v>
      </c>
      <c r="F57" s="20" t="s">
        <v>130</v>
      </c>
    </row>
    <row r="58" spans="1:6" ht="19">
      <c r="A58" s="39"/>
      <c r="B58" s="2" t="s">
        <v>131</v>
      </c>
      <c r="C58" s="3" t="s">
        <v>132</v>
      </c>
      <c r="D58" s="5" t="s">
        <v>23</v>
      </c>
      <c r="E58" s="11"/>
      <c r="F58" s="16"/>
    </row>
    <row r="59" spans="1:6" ht="34">
      <c r="A59" s="39"/>
      <c r="B59" s="2" t="s">
        <v>133</v>
      </c>
      <c r="C59" s="3" t="s">
        <v>134</v>
      </c>
      <c r="D59" s="5" t="s">
        <v>23</v>
      </c>
      <c r="E59" s="11"/>
      <c r="F59" s="16"/>
    </row>
    <row r="60" spans="1:6" ht="19">
      <c r="A60" s="39"/>
      <c r="B60" s="2" t="s">
        <v>135</v>
      </c>
      <c r="C60" s="3" t="s">
        <v>136</v>
      </c>
      <c r="D60" s="5" t="s">
        <v>23</v>
      </c>
      <c r="E60" s="11"/>
      <c r="F60" s="16"/>
    </row>
    <row r="61" spans="1:6" ht="19">
      <c r="A61" s="39"/>
      <c r="B61" s="2" t="s">
        <v>137</v>
      </c>
      <c r="C61" s="3" t="s">
        <v>138</v>
      </c>
      <c r="D61" s="5" t="s">
        <v>23</v>
      </c>
      <c r="E61" s="11"/>
      <c r="F61" s="16"/>
    </row>
    <row r="62" spans="1:6" ht="34">
      <c r="A62" s="39"/>
      <c r="B62" s="2" t="s">
        <v>139</v>
      </c>
      <c r="C62" s="3" t="s">
        <v>140</v>
      </c>
      <c r="D62" s="5" t="s">
        <v>23</v>
      </c>
      <c r="E62" s="11"/>
      <c r="F62" s="16"/>
    </row>
    <row r="63" spans="1:6" ht="34">
      <c r="A63" s="39"/>
      <c r="B63" s="2" t="s">
        <v>141</v>
      </c>
      <c r="C63" s="3" t="s">
        <v>142</v>
      </c>
      <c r="D63" s="5" t="s">
        <v>23</v>
      </c>
      <c r="E63" s="11"/>
      <c r="F63" s="16"/>
    </row>
    <row r="64" spans="1:6" ht="34">
      <c r="A64" s="39"/>
      <c r="B64" s="2" t="s">
        <v>143</v>
      </c>
      <c r="C64" s="3" t="s">
        <v>144</v>
      </c>
      <c r="D64" s="5" t="s">
        <v>23</v>
      </c>
      <c r="E64" s="11"/>
      <c r="F64" s="16"/>
    </row>
    <row r="65" spans="1:6" ht="34">
      <c r="A65" s="40"/>
      <c r="B65" s="2" t="s">
        <v>145</v>
      </c>
      <c r="C65" s="3" t="s">
        <v>146</v>
      </c>
      <c r="D65" s="5" t="s">
        <v>23</v>
      </c>
      <c r="E65" s="11"/>
      <c r="F65" s="16"/>
    </row>
    <row r="66" spans="1:6" ht="68">
      <c r="A66" s="41" t="s">
        <v>147</v>
      </c>
      <c r="B66" s="2" t="s">
        <v>148</v>
      </c>
      <c r="C66" s="3" t="s">
        <v>149</v>
      </c>
      <c r="D66" s="5" t="s">
        <v>26</v>
      </c>
      <c r="E66" s="11" t="s">
        <v>150</v>
      </c>
      <c r="F66" s="21" t="s">
        <v>151</v>
      </c>
    </row>
    <row r="67" spans="1:6" ht="68">
      <c r="A67" s="39"/>
      <c r="B67" s="2" t="s">
        <v>152</v>
      </c>
      <c r="C67" s="3" t="s">
        <v>153</v>
      </c>
      <c r="D67" s="5" t="s">
        <v>26</v>
      </c>
      <c r="E67" s="11" t="s">
        <v>154</v>
      </c>
      <c r="F67" s="21" t="s">
        <v>155</v>
      </c>
    </row>
    <row r="68" spans="1:6" ht="85">
      <c r="A68" s="39"/>
      <c r="B68" s="2" t="s">
        <v>156</v>
      </c>
      <c r="C68" s="3" t="s">
        <v>157</v>
      </c>
      <c r="D68" s="5" t="s">
        <v>26</v>
      </c>
      <c r="E68" s="11" t="s">
        <v>158</v>
      </c>
      <c r="F68" s="21" t="s">
        <v>159</v>
      </c>
    </row>
    <row r="69" spans="1:6" ht="34">
      <c r="A69" s="40"/>
      <c r="B69" s="2" t="s">
        <v>160</v>
      </c>
      <c r="C69" s="3" t="s">
        <v>161</v>
      </c>
      <c r="D69" s="5" t="s">
        <v>23</v>
      </c>
      <c r="E69" s="11"/>
      <c r="F69" s="16"/>
    </row>
    <row r="70" spans="1:6" ht="51">
      <c r="A70" s="41" t="s">
        <v>162</v>
      </c>
      <c r="B70" s="2" t="s">
        <v>163</v>
      </c>
      <c r="C70" s="3" t="s">
        <v>164</v>
      </c>
      <c r="D70" s="5" t="s">
        <v>53</v>
      </c>
      <c r="E70" s="11" t="s">
        <v>165</v>
      </c>
      <c r="F70" s="16"/>
    </row>
    <row r="71" spans="1:6" ht="34">
      <c r="A71" s="39"/>
      <c r="B71" s="2" t="s">
        <v>166</v>
      </c>
      <c r="C71" s="3" t="s">
        <v>167</v>
      </c>
      <c r="D71" s="5" t="s">
        <v>53</v>
      </c>
      <c r="E71" s="11" t="s">
        <v>168</v>
      </c>
      <c r="F71" s="16"/>
    </row>
    <row r="72" spans="1:6" ht="34">
      <c r="A72" s="39"/>
      <c r="B72" s="2" t="s">
        <v>169</v>
      </c>
      <c r="C72" s="3" t="s">
        <v>170</v>
      </c>
      <c r="D72" s="5" t="s">
        <v>26</v>
      </c>
      <c r="E72" s="11" t="s">
        <v>171</v>
      </c>
      <c r="F72" s="21" t="s">
        <v>172</v>
      </c>
    </row>
    <row r="73" spans="1:6" ht="51">
      <c r="A73" s="39"/>
      <c r="B73" s="2" t="s">
        <v>173</v>
      </c>
      <c r="C73" s="3" t="s">
        <v>174</v>
      </c>
      <c r="D73" s="5" t="s">
        <v>53</v>
      </c>
      <c r="E73" s="11" t="s">
        <v>175</v>
      </c>
      <c r="F73" s="16"/>
    </row>
    <row r="74" spans="1:6" ht="34">
      <c r="A74" s="39"/>
      <c r="B74" s="2" t="s">
        <v>176</v>
      </c>
      <c r="C74" s="3" t="s">
        <v>177</v>
      </c>
      <c r="D74" s="5" t="s">
        <v>53</v>
      </c>
      <c r="E74" s="11" t="s">
        <v>178</v>
      </c>
      <c r="F74" s="16"/>
    </row>
    <row r="75" spans="1:6" ht="34">
      <c r="A75" s="39"/>
      <c r="B75" s="2" t="s">
        <v>179</v>
      </c>
      <c r="C75" s="3" t="s">
        <v>180</v>
      </c>
      <c r="D75" s="5" t="s">
        <v>23</v>
      </c>
      <c r="E75" s="11"/>
      <c r="F75" s="16"/>
    </row>
    <row r="76" spans="1:6" ht="34">
      <c r="A76" s="39"/>
      <c r="B76" s="2" t="s">
        <v>181</v>
      </c>
      <c r="C76" s="3" t="s">
        <v>182</v>
      </c>
      <c r="D76" s="5" t="s">
        <v>53</v>
      </c>
      <c r="E76" s="19"/>
      <c r="F76" s="16"/>
    </row>
    <row r="77" spans="1:6" ht="34">
      <c r="A77" s="39"/>
      <c r="B77" s="2" t="s">
        <v>183</v>
      </c>
      <c r="C77" s="3" t="s">
        <v>184</v>
      </c>
      <c r="D77" s="5" t="s">
        <v>23</v>
      </c>
      <c r="E77" s="11"/>
      <c r="F77" s="16"/>
    </row>
    <row r="78" spans="1:6" ht="51">
      <c r="A78" s="39"/>
      <c r="B78" s="2" t="s">
        <v>185</v>
      </c>
      <c r="C78" s="3" t="s">
        <v>186</v>
      </c>
      <c r="D78" s="5" t="s">
        <v>53</v>
      </c>
      <c r="E78" s="11" t="s">
        <v>187</v>
      </c>
      <c r="F78" s="16"/>
    </row>
    <row r="79" spans="1:6" ht="51">
      <c r="A79" s="39"/>
      <c r="B79" s="2" t="s">
        <v>188</v>
      </c>
      <c r="C79" s="3" t="s">
        <v>189</v>
      </c>
      <c r="D79" s="5" t="s">
        <v>53</v>
      </c>
      <c r="E79" s="11" t="s">
        <v>190</v>
      </c>
      <c r="F79" s="16"/>
    </row>
    <row r="80" spans="1:6" ht="85">
      <c r="A80" s="39"/>
      <c r="B80" s="2" t="s">
        <v>191</v>
      </c>
      <c r="C80" s="3" t="s">
        <v>192</v>
      </c>
      <c r="D80" s="5" t="s">
        <v>53</v>
      </c>
      <c r="E80" s="18" t="s">
        <v>193</v>
      </c>
      <c r="F80" s="16"/>
    </row>
    <row r="81" spans="1:6" ht="119">
      <c r="A81" s="39"/>
      <c r="B81" s="2" t="s">
        <v>194</v>
      </c>
      <c r="C81" s="3" t="s">
        <v>195</v>
      </c>
      <c r="D81" s="5" t="s">
        <v>53</v>
      </c>
      <c r="E81" s="11" t="s">
        <v>196</v>
      </c>
      <c r="F81" s="16"/>
    </row>
    <row r="82" spans="1:6" ht="51">
      <c r="A82" s="39"/>
      <c r="B82" s="2" t="s">
        <v>197</v>
      </c>
      <c r="C82" s="3" t="s">
        <v>198</v>
      </c>
      <c r="D82" s="5" t="s">
        <v>23</v>
      </c>
      <c r="E82" s="11"/>
      <c r="F82" s="16"/>
    </row>
    <row r="83" spans="1:6" ht="51">
      <c r="A83" s="40"/>
      <c r="B83" s="2" t="s">
        <v>199</v>
      </c>
      <c r="C83" s="3" t="s">
        <v>200</v>
      </c>
      <c r="D83" s="5" t="s">
        <v>23</v>
      </c>
      <c r="E83" s="11"/>
      <c r="F83" s="16"/>
    </row>
    <row r="84" spans="1:6" ht="19">
      <c r="A84" s="41" t="s">
        <v>201</v>
      </c>
      <c r="B84" s="2" t="s">
        <v>202</v>
      </c>
      <c r="C84" s="3" t="s">
        <v>203</v>
      </c>
      <c r="D84" s="5" t="s">
        <v>23</v>
      </c>
      <c r="E84" s="11"/>
      <c r="F84" s="16"/>
    </row>
    <row r="85" spans="1:6" ht="34">
      <c r="A85" s="39"/>
      <c r="B85" s="2" t="s">
        <v>204</v>
      </c>
      <c r="C85" s="3" t="s">
        <v>205</v>
      </c>
      <c r="D85" s="5" t="s">
        <v>23</v>
      </c>
      <c r="E85" s="11"/>
      <c r="F85" s="16"/>
    </row>
    <row r="86" spans="1:6" ht="51">
      <c r="A86" s="39"/>
      <c r="B86" s="2" t="s">
        <v>206</v>
      </c>
      <c r="C86" s="3" t="s">
        <v>207</v>
      </c>
      <c r="D86" s="5" t="s">
        <v>23</v>
      </c>
      <c r="E86" s="11"/>
      <c r="F86" s="16"/>
    </row>
    <row r="87" spans="1:6" ht="34">
      <c r="A87" s="39"/>
      <c r="B87" s="2" t="s">
        <v>208</v>
      </c>
      <c r="C87" s="3" t="s">
        <v>209</v>
      </c>
      <c r="D87" s="5" t="s">
        <v>23</v>
      </c>
      <c r="E87" s="11"/>
      <c r="F87" s="16"/>
    </row>
    <row r="88" spans="1:6" ht="34">
      <c r="A88" s="39"/>
      <c r="B88" s="2" t="s">
        <v>210</v>
      </c>
      <c r="C88" s="3" t="s">
        <v>211</v>
      </c>
      <c r="D88" s="5" t="s">
        <v>23</v>
      </c>
      <c r="E88" s="11"/>
      <c r="F88" s="16"/>
    </row>
    <row r="89" spans="1:6" ht="34">
      <c r="A89" s="39"/>
      <c r="B89" s="2" t="s">
        <v>212</v>
      </c>
      <c r="C89" s="3" t="s">
        <v>213</v>
      </c>
      <c r="D89" s="5" t="s">
        <v>23</v>
      </c>
      <c r="E89" s="11"/>
      <c r="F89" s="16"/>
    </row>
    <row r="90" spans="1:6" ht="34">
      <c r="A90" s="39"/>
      <c r="B90" s="2" t="s">
        <v>214</v>
      </c>
      <c r="C90" s="3" t="s">
        <v>215</v>
      </c>
      <c r="D90" s="5" t="s">
        <v>23</v>
      </c>
      <c r="E90" s="11"/>
      <c r="F90" s="16"/>
    </row>
    <row r="91" spans="1:6" ht="34">
      <c r="A91" s="39"/>
      <c r="B91" s="2" t="s">
        <v>216</v>
      </c>
      <c r="C91" s="3" t="s">
        <v>217</v>
      </c>
      <c r="D91" s="5" t="s">
        <v>23</v>
      </c>
      <c r="E91" s="11"/>
      <c r="F91" s="16"/>
    </row>
    <row r="92" spans="1:6" ht="34">
      <c r="A92" s="39"/>
      <c r="B92" s="2" t="s">
        <v>218</v>
      </c>
      <c r="C92" s="3" t="s">
        <v>219</v>
      </c>
      <c r="D92" s="5" t="s">
        <v>23</v>
      </c>
      <c r="E92" s="11"/>
      <c r="F92" s="16"/>
    </row>
    <row r="93" spans="1:6" ht="34">
      <c r="A93" s="39"/>
      <c r="B93" s="2" t="s">
        <v>220</v>
      </c>
      <c r="C93" s="3" t="s">
        <v>221</v>
      </c>
      <c r="D93" s="5" t="s">
        <v>23</v>
      </c>
      <c r="E93" s="11"/>
      <c r="F93" s="16"/>
    </row>
    <row r="94" spans="1:6" ht="51">
      <c r="A94" s="39"/>
      <c r="B94" s="2" t="s">
        <v>222</v>
      </c>
      <c r="C94" s="3" t="s">
        <v>223</v>
      </c>
      <c r="D94" s="5" t="s">
        <v>23</v>
      </c>
      <c r="E94" s="11"/>
      <c r="F94" s="16"/>
    </row>
    <row r="95" spans="1:6" ht="85">
      <c r="A95" s="39"/>
      <c r="B95" s="2" t="s">
        <v>224</v>
      </c>
      <c r="C95" s="3" t="s">
        <v>225</v>
      </c>
      <c r="D95" s="5" t="s">
        <v>23</v>
      </c>
      <c r="E95" s="11"/>
      <c r="F95" s="16"/>
    </row>
    <row r="96" spans="1:6" ht="51">
      <c r="A96" s="40"/>
      <c r="B96" s="2" t="s">
        <v>226</v>
      </c>
      <c r="C96" s="3" t="s">
        <v>227</v>
      </c>
      <c r="D96" s="5" t="s">
        <v>23</v>
      </c>
      <c r="E96" s="11"/>
      <c r="F96" s="16"/>
    </row>
    <row r="97" spans="1:6" ht="34">
      <c r="A97" s="41" t="s">
        <v>228</v>
      </c>
      <c r="B97" s="2" t="s">
        <v>229</v>
      </c>
      <c r="C97" s="3" t="s">
        <v>230</v>
      </c>
      <c r="D97" s="5" t="s">
        <v>23</v>
      </c>
      <c r="E97" s="11"/>
      <c r="F97" s="16"/>
    </row>
    <row r="98" spans="1:6" ht="34">
      <c r="A98" s="39"/>
      <c r="B98" s="2" t="s">
        <v>231</v>
      </c>
      <c r="C98" s="3" t="s">
        <v>232</v>
      </c>
      <c r="D98" s="5" t="s">
        <v>23</v>
      </c>
      <c r="E98" s="11"/>
      <c r="F98" s="16"/>
    </row>
    <row r="99" spans="1:6" ht="19">
      <c r="A99" s="39"/>
      <c r="B99" s="2" t="s">
        <v>233</v>
      </c>
      <c r="C99" s="3" t="s">
        <v>234</v>
      </c>
      <c r="D99" s="5" t="s">
        <v>23</v>
      </c>
      <c r="E99" s="11"/>
      <c r="F99" s="16"/>
    </row>
    <row r="100" spans="1:6" ht="34">
      <c r="A100" s="39"/>
      <c r="B100" s="2" t="s">
        <v>235</v>
      </c>
      <c r="C100" s="3" t="s">
        <v>236</v>
      </c>
      <c r="D100" s="5" t="s">
        <v>23</v>
      </c>
      <c r="E100" s="11"/>
      <c r="F100" s="16"/>
    </row>
    <row r="101" spans="1:6" ht="34">
      <c r="A101" s="39"/>
      <c r="B101" s="2" t="s">
        <v>237</v>
      </c>
      <c r="C101" s="3" t="s">
        <v>238</v>
      </c>
      <c r="D101" s="5" t="s">
        <v>23</v>
      </c>
      <c r="E101" s="11"/>
      <c r="F101" s="16"/>
    </row>
    <row r="102" spans="1:6" ht="68">
      <c r="A102" s="39"/>
      <c r="B102" s="2" t="s">
        <v>239</v>
      </c>
      <c r="C102" s="3" t="s">
        <v>240</v>
      </c>
      <c r="D102" s="5" t="s">
        <v>23</v>
      </c>
      <c r="E102" s="11"/>
      <c r="F102" s="16"/>
    </row>
    <row r="103" spans="1:6" ht="34">
      <c r="A103" s="39"/>
      <c r="B103" s="2" t="s">
        <v>241</v>
      </c>
      <c r="C103" s="3" t="s">
        <v>242</v>
      </c>
      <c r="D103" s="5" t="s">
        <v>23</v>
      </c>
      <c r="E103" s="11"/>
      <c r="F103" s="16"/>
    </row>
    <row r="104" spans="1:6" ht="19">
      <c r="A104" s="39"/>
      <c r="B104" s="2" t="s">
        <v>243</v>
      </c>
      <c r="C104" s="3" t="s">
        <v>244</v>
      </c>
      <c r="D104" s="5" t="s">
        <v>53</v>
      </c>
      <c r="E104" s="11" t="s">
        <v>245</v>
      </c>
      <c r="F104" s="16"/>
    </row>
    <row r="105" spans="1:6" ht="51">
      <c r="A105" s="39"/>
      <c r="B105" s="2" t="s">
        <v>246</v>
      </c>
      <c r="C105" s="3" t="s">
        <v>247</v>
      </c>
      <c r="D105" s="5" t="s">
        <v>26</v>
      </c>
      <c r="E105" s="11" t="s">
        <v>248</v>
      </c>
      <c r="F105" s="21" t="s">
        <v>249</v>
      </c>
    </row>
    <row r="106" spans="1:6" ht="51">
      <c r="A106" s="39"/>
      <c r="B106" s="2" t="s">
        <v>250</v>
      </c>
      <c r="C106" s="3" t="s">
        <v>251</v>
      </c>
      <c r="D106" s="5" t="s">
        <v>23</v>
      </c>
      <c r="E106" s="11"/>
      <c r="F106" s="16"/>
    </row>
    <row r="107" spans="1:6" ht="51">
      <c r="A107" s="40"/>
      <c r="B107" s="2" t="s">
        <v>252</v>
      </c>
      <c r="C107" s="3" t="s">
        <v>253</v>
      </c>
      <c r="D107" s="5" t="s">
        <v>23</v>
      </c>
      <c r="E107" s="11"/>
      <c r="F107" s="16"/>
    </row>
    <row r="108" spans="1:6" ht="34">
      <c r="A108" s="41" t="s">
        <v>254</v>
      </c>
      <c r="B108" s="2" t="s">
        <v>255</v>
      </c>
      <c r="C108" s="3" t="s">
        <v>256</v>
      </c>
      <c r="D108" s="5" t="s">
        <v>23</v>
      </c>
      <c r="E108" s="11"/>
      <c r="F108" s="16"/>
    </row>
    <row r="109" spans="1:6" ht="51">
      <c r="A109" s="39"/>
      <c r="B109" s="2" t="s">
        <v>257</v>
      </c>
      <c r="C109" s="3" t="s">
        <v>258</v>
      </c>
      <c r="D109" s="5" t="s">
        <v>23</v>
      </c>
      <c r="E109" s="11"/>
      <c r="F109" s="16"/>
    </row>
    <row r="110" spans="1:6" ht="51">
      <c r="A110" s="39"/>
      <c r="B110" s="2" t="s">
        <v>259</v>
      </c>
      <c r="C110" s="3" t="s">
        <v>260</v>
      </c>
      <c r="D110" s="5" t="s">
        <v>23</v>
      </c>
      <c r="E110" s="11"/>
      <c r="F110" s="16"/>
    </row>
    <row r="111" spans="1:6" ht="34">
      <c r="A111" s="39"/>
      <c r="B111" s="2" t="s">
        <v>261</v>
      </c>
      <c r="C111" s="3" t="s">
        <v>262</v>
      </c>
      <c r="D111" s="5" t="s">
        <v>23</v>
      </c>
      <c r="E111" s="11"/>
      <c r="F111" s="16"/>
    </row>
    <row r="112" spans="1:6" ht="34">
      <c r="A112" s="39"/>
      <c r="B112" s="2" t="s">
        <v>263</v>
      </c>
      <c r="C112" s="3" t="s">
        <v>264</v>
      </c>
      <c r="D112" s="5" t="s">
        <v>23</v>
      </c>
      <c r="E112" s="11"/>
      <c r="F112" s="16"/>
    </row>
    <row r="113" spans="1:6" ht="51">
      <c r="A113" s="39"/>
      <c r="B113" s="2" t="s">
        <v>265</v>
      </c>
      <c r="C113" s="3" t="s">
        <v>266</v>
      </c>
      <c r="D113" s="5" t="s">
        <v>23</v>
      </c>
      <c r="E113" s="11"/>
      <c r="F113" s="16"/>
    </row>
    <row r="114" spans="1:6" ht="34">
      <c r="A114" s="39"/>
      <c r="B114" s="2" t="s">
        <v>267</v>
      </c>
      <c r="C114" s="3" t="s">
        <v>268</v>
      </c>
      <c r="D114" s="5" t="s">
        <v>23</v>
      </c>
      <c r="E114" s="11"/>
      <c r="F114" s="16"/>
    </row>
    <row r="115" spans="1:6" ht="34">
      <c r="A115" s="39"/>
      <c r="B115" s="2" t="s">
        <v>269</v>
      </c>
      <c r="C115" s="3" t="s">
        <v>270</v>
      </c>
      <c r="D115" s="5" t="s">
        <v>23</v>
      </c>
      <c r="E115" s="11"/>
      <c r="F115" s="16"/>
    </row>
    <row r="116" spans="1:6" ht="51">
      <c r="A116" s="39"/>
      <c r="B116" s="2" t="s">
        <v>271</v>
      </c>
      <c r="C116" s="3" t="s">
        <v>272</v>
      </c>
      <c r="D116" s="5" t="s">
        <v>23</v>
      </c>
      <c r="E116" s="11"/>
      <c r="F116" s="16"/>
    </row>
    <row r="117" spans="1:6" ht="51">
      <c r="A117" s="39"/>
      <c r="B117" s="2" t="s">
        <v>273</v>
      </c>
      <c r="C117" s="3" t="s">
        <v>274</v>
      </c>
      <c r="D117" s="5" t="s">
        <v>23</v>
      </c>
      <c r="E117" s="11"/>
      <c r="F117" s="16"/>
    </row>
    <row r="118" spans="1:6" ht="51">
      <c r="A118" s="39"/>
      <c r="B118" s="2" t="s">
        <v>275</v>
      </c>
      <c r="C118" s="3" t="s">
        <v>276</v>
      </c>
      <c r="D118" s="5" t="s">
        <v>23</v>
      </c>
      <c r="E118" s="11"/>
      <c r="F118" s="16"/>
    </row>
    <row r="119" spans="1:6" ht="51">
      <c r="A119" s="40"/>
      <c r="B119" s="2" t="s">
        <v>277</v>
      </c>
      <c r="C119" s="3" t="s">
        <v>278</v>
      </c>
      <c r="D119" s="5" t="s">
        <v>23</v>
      </c>
      <c r="E119" s="11"/>
      <c r="F119" s="16"/>
    </row>
    <row r="123" spans="1:6">
      <c r="A123" s="42" t="s">
        <v>279</v>
      </c>
      <c r="B123" s="42"/>
      <c r="C123" s="42"/>
      <c r="D123" s="42"/>
      <c r="E123" s="10" t="s">
        <v>280</v>
      </c>
    </row>
    <row r="124" spans="1:6" ht="34">
      <c r="A124" s="26" t="s">
        <v>281</v>
      </c>
      <c r="B124" s="27"/>
      <c r="C124" s="27"/>
      <c r="D124" s="28"/>
      <c r="E124" s="12" t="s">
        <v>282</v>
      </c>
    </row>
    <row r="125" spans="1:6" ht="148" customHeight="1">
      <c r="A125" s="26" t="s">
        <v>283</v>
      </c>
      <c r="B125" s="27"/>
      <c r="C125" s="27"/>
      <c r="D125" s="28"/>
      <c r="E125" s="12" t="s">
        <v>284</v>
      </c>
    </row>
    <row r="126" spans="1:6" ht="148" customHeight="1">
      <c r="A126" s="26" t="s">
        <v>285</v>
      </c>
      <c r="B126" s="27"/>
      <c r="C126" s="27"/>
      <c r="D126" s="28"/>
      <c r="E126" s="12" t="s">
        <v>284</v>
      </c>
    </row>
  </sheetData>
  <mergeCells count="28">
    <mergeCell ref="A11:C11"/>
    <mergeCell ref="A124:D124"/>
    <mergeCell ref="A41:A48"/>
    <mergeCell ref="A123:D123"/>
    <mergeCell ref="A97:A107"/>
    <mergeCell ref="A108:A119"/>
    <mergeCell ref="A49:A50"/>
    <mergeCell ref="A51:A55"/>
    <mergeCell ref="A56:A65"/>
    <mergeCell ref="A66:A69"/>
    <mergeCell ref="A70:A83"/>
    <mergeCell ref="A84:A96"/>
    <mergeCell ref="A126:D126"/>
    <mergeCell ref="A125:D125"/>
    <mergeCell ref="A1:D1"/>
    <mergeCell ref="A5:C5"/>
    <mergeCell ref="A6:C6"/>
    <mergeCell ref="A8:C8"/>
    <mergeCell ref="A9:C9"/>
    <mergeCell ref="A3:C3"/>
    <mergeCell ref="A4:C4"/>
    <mergeCell ref="A2:C2"/>
    <mergeCell ref="A10:C10"/>
    <mergeCell ref="A7:C7"/>
    <mergeCell ref="A14:A22"/>
    <mergeCell ref="A23:A24"/>
    <mergeCell ref="A25:A27"/>
    <mergeCell ref="A28:A40"/>
  </mergeCells>
  <conditionalFormatting sqref="D14:E14 D15:D22 D74:D75 D75:E79 D80">
    <cfRule type="expression" dxfId="19" priority="21">
      <formula>$D14="Non testé"</formula>
    </cfRule>
  </conditionalFormatting>
  <conditionalFormatting sqref="D14:E14 D15:D22 D16:E69 D74:D75 D75:E79 D80">
    <cfRule type="expression" dxfId="18" priority="22">
      <formula>$D14="Dérogé"</formula>
    </cfRule>
    <cfRule type="expression" dxfId="17" priority="23">
      <formula>$D14="Conforme"</formula>
    </cfRule>
    <cfRule type="expression" dxfId="16" priority="24">
      <formula>$D14="Non conforme"</formula>
    </cfRule>
  </conditionalFormatting>
  <conditionalFormatting sqref="D16:E73">
    <cfRule type="expression" dxfId="15" priority="5">
      <formula>$D16="Non testé"</formula>
    </cfRule>
  </conditionalFormatting>
  <conditionalFormatting sqref="D70:E73">
    <cfRule type="expression" dxfId="14" priority="6">
      <formula>$D70="Dérogé"</formula>
    </cfRule>
    <cfRule type="expression" dxfId="13" priority="7">
      <formula>$D70="Conforme"</formula>
    </cfRule>
    <cfRule type="expression" dxfId="12" priority="8">
      <formula>$D70="Non conforme"</formula>
    </cfRule>
  </conditionalFormatting>
  <conditionalFormatting sqref="D81:E119">
    <cfRule type="expression" dxfId="11" priority="1">
      <formula>$D81="Non testé"</formula>
    </cfRule>
    <cfRule type="expression" dxfId="10" priority="2">
      <formula>$D81="Dérogé"</formula>
    </cfRule>
    <cfRule type="expression" dxfId="9" priority="3">
      <formula>$D81="Conforme"</formula>
    </cfRule>
    <cfRule type="expression" dxfId="8" priority="4">
      <formula>$D81="Non conforme"</formula>
    </cfRule>
  </conditionalFormatting>
  <conditionalFormatting sqref="E15">
    <cfRule type="expression" dxfId="7" priority="17">
      <formula>$D15="Non testé"</formula>
    </cfRule>
    <cfRule type="expression" dxfId="6" priority="18">
      <formula>$D15="Dérogé"</formula>
    </cfRule>
    <cfRule type="expression" dxfId="5" priority="19">
      <formula>$D15="Conforme"</formula>
    </cfRule>
    <cfRule type="expression" dxfId="4" priority="20">
      <formula>$D15="Non conforme"</formula>
    </cfRule>
  </conditionalFormatting>
  <conditionalFormatting sqref="E74">
    <cfRule type="expression" dxfId="3" priority="13">
      <formula>$D74="Non testé"</formula>
    </cfRule>
    <cfRule type="expression" dxfId="2" priority="14">
      <formula>$D74="Dérogé"</formula>
    </cfRule>
    <cfRule type="expression" dxfId="1" priority="15">
      <formula>$D74="Conforme"</formula>
    </cfRule>
    <cfRule type="expression" dxfId="0" priority="16">
      <formula>$D74="Non conforme"</formula>
    </cfRule>
  </conditionalFormatting>
  <dataValidations count="2">
    <dataValidation type="list" allowBlank="1" showInputMessage="1" showErrorMessage="1" sqref="D14:D119" xr:uid="{00000000-0002-0000-0200-000000000000}">
      <formula1>"Conforme,Non conforme,Non applicable,Dérogé,Non testé"</formula1>
    </dataValidation>
    <dataValidation allowBlank="1" showInputMessage="1" showErrorMessage="1" prompt="Format JJ/MM/AAAA" sqref="D3" xr:uid="{DD65A707-9560-C348-A8A9-AB9CB664A441}"/>
  </dataValidations>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1</vt:i4>
      </vt:variant>
    </vt:vector>
  </HeadingPairs>
  <TitlesOfParts>
    <vt:vector size="1" baseType="lpstr">
      <vt:lpstr>HeaderBurgerMenu</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Julien Roche</dc:creator>
  <cp:keywords/>
  <dc:description/>
  <cp:lastModifiedBy>David FYON</cp:lastModifiedBy>
  <cp:revision/>
  <dcterms:created xsi:type="dcterms:W3CDTF">2025-03-05T16:22:31Z</dcterms:created>
  <dcterms:modified xsi:type="dcterms:W3CDTF">2025-08-04T13:45:58Z</dcterms:modified>
  <cp:category/>
  <cp:contentStatus/>
</cp:coreProperties>
</file>
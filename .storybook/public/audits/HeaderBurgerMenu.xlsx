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0" documentId="8_{48EC7C8D-4962-4946-86D2-D6BC01E8DBF5}" xr6:coauthVersionLast="47" xr6:coauthVersionMax="47" xr10:uidLastSave="{00000000-0000-0000-0000-000000000000}"/>
  <bookViews>
    <workbookView xWindow="0" yWindow="760" windowWidth="30240" windowHeight="17540" xr2:uid="{00000000-000D-0000-FFFF-FFFF00000000}"/>
  </bookViews>
  <sheets>
    <sheet name="HeaderBurgerMenu"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<sst xmlns="http://schemas.openxmlformats.org/spreadsheetml/2006/main" count="391" uniqueCount="287">
  <si>
    <t>Composant : HeaderBurgerMenu</t>
  </si>
  <si>
    <t>Audit</t>
  </si>
  <si>
    <t>Audit V1</t>
  </si>
  <si>
    <t>Correction post audit V1 - (voir - https://github.com/assurance-maladie-digital/design-system-v3/issues/646)</t>
  </si>
  <si>
    <t>Date</t>
  </si>
  <si>
    <t>Version</t>
  </si>
  <si>
    <t>1.0.0</t>
  </si>
  <si>
    <t>1.0.4</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</si>
  <si>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</si>
  <si>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</si>
  <si>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</si>
  <si>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</si>
  <si>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</si>
  <si>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</si>
  <si>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</si>
  <si>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</si>
  <si>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</si>
  <si>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</si>
  <si>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</si>
  <si>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</si>
  <si>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</si>
  <si>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</si>
  <si>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</si>
  <si>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</si>
  <si>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</si>
  <si>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</si>
  <si>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</si>
  <si>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</si>
  <si>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Les SVG du menu burger et les flèches pour les sous-menus sont bien des images de décoration, ignorée par les technologies d'assistance avec aria-hidden="true". En revanche, ils possèdent l'attribut role="img" réservé aux images porteuses d'informations.</t>
  </si>
  <si>
    <t>Utilisation du composant du design system 'SyIcon'</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</si>
  <si>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</si>
  <si>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</si>
  <si>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</si>
  <si>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</si>
  <si>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</si>
  <si>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</si>
  <si>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</si>
  <si>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</si>
  <si>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</si>
  <si>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</si>
  <si>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</si>
  <si>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</si>
  <si>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</si>
  <si>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</si>
  <si>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</si>
  <si>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</si>
  <si>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</si>
  <si>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</si>
  <si>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</si>
  <si>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</si>
  <si>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</si>
  <si>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</si>
  <si>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</si>
  <si>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</si>
  <si>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Conforme</t>
  </si>
  <si>
    <t>Thème par défaut :
  - Titre du bouton hamburger (16px gras) :
    - menu fermé (normal/hover) =&gt; texte blanc sur fond bleu =&gt; 9,38 (conforme)
    - menu ouvert (normal/hover) + menu fermé (focus) =&gt; texte bleu sur fond blanc =&gt; 9,38 (conforme)
  - Titre d'une section (16px gras) =&gt; texte noir sur fond blanc =&gt; 15,43 (conforme)
  - Item niveau 1 (17,6px gras) :
    - normal/focus =&gt; texte bleu sur fond blanc =&gt; 9,38 (conforme)
    - hover =&gt; texte blanc sur fond bleu =&gt; 9,38 (conforme)
  - Item niveau 2 (16px gras) :
    - normal/focus =&gt; texte bleu sur fond gris =&gt; 8,91 (conforme)
    - hover =&gt; texte blanc sur fond bleu =&gt; 9,38 (conforme)</t>
  </si>
  <si>
    <t>3.3</t>
  </si>
  <si>
    <t>Dans chaque page web, les couleurs utilisées dans les composants d’interface ou les éléments graphiques porteurs d’informations sont-elles suffisamment contrastées (hors cas particuliers) ?</t>
  </si>
  <si>
    <t>Les icônes du bouton menu burger (ouvert/fermé) ainsi que les flèches pour les sous-menus (ouvert/fermé) ont un contraste toujours équivalent à 9,38 (conforme). Idem pour la bordure apparaissant au focus de la version fermée.
- bordure item niveau 1 =&gt; bordure bleue sur fond blanc =&gt; 9,4 (conforme)
- bordure item niveau 2 =&gt; bordure bleue sur fond gris =&gt; 8,9 (conforme)</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</si>
  <si>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</si>
  <si>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</si>
  <si>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</si>
  <si>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</si>
  <si>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</si>
  <si>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</si>
  <si>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</si>
  <si>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</si>
  <si>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</si>
  <si>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</si>
  <si>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</si>
  <si>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</si>
  <si>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</si>
  <si>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</si>
  <si>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</si>
  <si>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</si>
  <si>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</si>
  <si>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</si>
  <si>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</si>
  <si>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</si>
  <si>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</si>
  <si>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</si>
  <si>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</si>
  <si>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</si>
  <si>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</si>
  <si>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</si>
  <si>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</si>
  <si>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</si>
  <si>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</si>
  <si>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</si>
  <si>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</si>
  <si>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</si>
  <si>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</si>
  <si>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</si>
  <si>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</si>
  <si>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</si>
  <si>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</si>
  <si>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</si>
  <si>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</si>
  <si>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</si>
  <si>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</si>
  <si>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</si>
  <si>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</si>
  <si>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</si>
  <si>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</si>
  <si>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</si>
  <si>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</si>
  <si>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Le composant ne determine pas si le lien est explicite ou non =&gt; charge au développeur</t>
  </si>
  <si>
    <t>6.2</t>
  </si>
  <si>
    <t>Dans chaque page web, chaque lien a-t-il un intitulé ?</t>
  </si>
  <si>
    <t>Le composant ne determine pas si le lien possède un intitulé ou non =&gt; charge au développeur</t>
  </si>
  <si>
    <t>SCRIPTS</t>
  </si>
  <si>
    <t>7.1</t>
  </si>
  <si>
    <t>Chaque script est-il, si nécessaire, compatible avec les technologies d’assistance ?</t>
  </si>
  <si>
    <t>Points positifs :
  - Le bouton burger menu possède un aria-label explicite "Ouvrir le menu" lorsqu'il est fermé et "Fermer le menu" lorsqu'il est ouvert
  - Les boutons déclencheurs (burger menu ou sous-menu) possèdent les attributs aria-expanded et aria-controls
  - À l'ouverture, le focus reste sur le bouton déclencheur, devenant un bouton de fermerture du menu
  - Le focus reste bien sur le bouton déclencheur (burger menu ou sous-menu) après ouverture du menu rattaché
Points négatifs :
  - Le menu burger est entièrement inclu dans une boîte de dialogue =&gt; ne devrait pas être le cas lorsqu'il est fermé. Son container principal devraît être une balise de navigation (voir critère 9.2). Une possibilité, mais aucune obligation, est de considérer le menu dépliant (incluant uniquement le bouton "Fermer le menu") dans une dialog (et non le bouton "Ouvrir le menu" compris comme actuellement) car il est visuellement matérialisé ainsi grâce au fond flou. Ainsi, il faut respecter le pattern W3C Dialog qui impose notamment que le focus reste bloqué dans cette boîte (impossibilité pour le lecteur d'écran d'atteindre le bouton "Ouvrir le menu" lorsque celui-ci est ouvert ni aucun autre élément en dehors de la boîte). Autre possibilité, n'avoir aucune boîte de dialogue. Dans les deux, il faudra suivre le pattern "Disclosure Navigation".
  - Les sections devraient être matérialisées dans des balises "section", elles-mêmes dans des listes à puces. Voir exemple plus bas. L'objectif est que l'utilisateur puisse détecter le nombre de section, identifier son titre sans qu'il n'est besoin de passer sur l'ensemble des items de chaque section.
Exemple structure HTML Burger Menu : 
&lt;nav role="navigation" aria-label="Menu principal"&gt;
    &lt;button aria-label="Ouvrir le menu" title="Ouvrir le menu" aria-expanded="false" aria-controls="burger-menu"&gt;☰&lt;/button&gt;
    &lt;ul id="burger-menu"&gt;
        &lt;li&gt;
            &lt;section aria-labelledby="burger-menu-section-1"&gt;
                &lt;h2 id="burger-menu-section-1"&gt;Section 1&lt;/h2&gt;
                &lt;ul&gt;
                    &lt;li&gt;&lt;a href="/"&gt;Item 1.1&lt;/a&gt;&lt;/li&gt;
                    &lt;li&gt;&lt;a href="/"&gt;Item 1.2&lt;/a&gt;&lt;/li&gt;
                &lt;/ul&gt;
            &lt;/section&gt;
        &lt;/li&gt;
        &lt;li&gt;
            &lt;section aria-labelledby="burger-menu-section-2"&gt;
                &lt;h2 id="burger-menu-section-2"&gt;Section 2&lt;/h2&gt;
                &lt;ul&gt;
                    &lt;li&gt;&lt;a href="/"&gt;Item 2.1&lt;/a&gt;&lt;/li&gt;
                    &lt;li&gt;
                        &lt;button aria-expanded="false" aria-controls="burger-sub-menu-2-2"&gt;Item 2.2&lt;/button&gt;
                        &lt;ul id="burger-sub-menu-2-2"&gt;
                            &lt;li&gt;&lt;a href="/"&gt;Item 2.3.1&lt;/a&gt;&lt;/li&gt;
                            &lt;li&gt;&lt;a href="/"&gt;Item 2.3.2&lt;/a&gt;&lt;/li&gt;
                            &lt;li&gt;&lt;a href="/"&gt;Item 2.3.3&lt;/a&gt;&lt;/li&gt;
                        &lt;/ul&gt;
                    &lt;/li&gt;
                &lt;/ul&gt;
            &lt;/section&gt;
        &lt;/li&gt;
    &lt;/ul&gt;
&lt;/nav&gt;</t>
  </si>
  <si>
    <t>Restreindre la boite de dialogue, mise en place d'un system de capture du focus, ajout des balise section</t>
  </si>
  <si>
    <t>7.2</t>
  </si>
  <si>
    <t>Pour chaque script ayant une alternative, cette alternative est-elle pertinente ?</t>
  </si>
  <si>
    <t>7.3</t>
  </si>
  <si>
    <t>Chaque script est-il contrôlable par le clavier et par tout dispositif de pointage (hors cas particuliers) ?</t>
  </si>
  <si>
    <t>Points positifs :
  - Les menus peuvent s'ouvrir, lors du focus sur le bouton burger ou celui du sous-menu, via Espace/Entrée
  - Il est possible de naviguer via TAB sur les différents items
  - Le focus reste bien sur le bouton déclencheur (burger menu ou sous-menu) après ouverture du menu rattaché
Points négatifs :
  - Il n'est pas possible de fermer les menu via la touche Echap (que ce soit niveau 1 ou 2)
  - Impossibilité de naviguer entre les différents" liens" via le clavier =&gt; problème au niveau de la documentation à cause de l'absence de balise href sur certains exemples : &lt;a&gt;Item&lt;/a&gt;, il faut ajouter les href sur chaque exemple pour que cela fonctionne
  - (Facultatif) Je ne peux pas naviguer en utilisant les flèches Haut/Bas/Gauche/Droite  (que ce soit niveau 1 ou 2)
  - (Facultatif) Les touches Home et End ne dirigent pas respectivement vers le premier ou le dernier élément d'une liste (que ce soit niveau 1 ou 2)
Pour en savoir plus : https://www.w3.org/WAI/ARIA/apg/patterns/disclosure/examples/disclosure-navigation/</t>
  </si>
  <si>
    <t>ajout de la fermeture des menus avec la touche echap</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</si>
  <si>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</si>
  <si>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</si>
  <si>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</si>
  <si>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</si>
  <si>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</si>
  <si>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</si>
  <si>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</si>
  <si>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</si>
  <si>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</si>
  <si>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Nombreuses erreurs de tags non fermés dû à l'erreur sur l'existence d'un li sans ul pour les sous-menus =&gt; voir critère 9.3
Aucune erreur sans sous-menu.</t>
  </si>
  <si>
    <t>correction de la story concerné</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</si>
  <si>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</si>
  <si>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</si>
  <si>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</si>
  <si>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</si>
  <si>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</si>
  <si>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</si>
  <si>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</si>
  <si>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</si>
  <si>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</si>
  <si>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</si>
  <si>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</si>
  <si>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</si>
  <si>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</si>
  <si>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</si>
  <si>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</si>
  <si>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</si>
  <si>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</si>
  <si>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</si>
  <si>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</si>
  <si>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Les titres des sections devraient être dans des balises hx (niveau modifiable par le développeur mais par défaut h2 ?). Voir structure HTML proposée dans le critère 7.1.</t>
  </si>
  <si>
    <t>Transformer le tag en h2 avec possibilité de personnaliser le tag</t>
  </si>
  <si>
    <t>9.2</t>
  </si>
  <si>
    <t>Dans chaque page web, la structure du document est-elle cohérente (hors cas particuliers) ?</t>
  </si>
  <si>
    <t>Le menu burger doit être inclus dans une balise de navigation : &lt;nav role="navigation" aria-label="Menu principal"&gt;&lt;button …&gt;…" à la place de la balise avec le rôle dialog. La dialog est notamment possible seulement pour la partie du menu ouverte (incluant son bouton de fermeture) =&gt; voir critère 7.1.</t>
  </si>
  <si>
    <t>ajout d'un balise nav autour du boutton d'ouverture du menu</t>
  </si>
  <si>
    <t>9.3</t>
  </si>
  <si>
    <t>Dans chaque page web, chaque liste est-elle correctement structurée ?</t>
  </si>
  <si>
    <t>Point positif :
  - liste ul/li conforme pour les items de niveau 1
Point négatif :
  - manque un ul pour les items de niveau 2 (sous-menu) =&gt; class .sub-menu-content</t>
  </si>
  <si>
    <t>ajout du balise ul &gt; li avec possibilité de personnaliser les tags</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</si>
  <si>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</si>
  <si>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</si>
  <si>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</si>
  <si>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</si>
  <si>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</si>
  <si>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</si>
  <si>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</si>
  <si>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</si>
  <si>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</si>
  <si>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</si>
  <si>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</si>
  <si>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La hierachisation des listes et sous-listes (sous-menu) n'est pas compréhensible lorsque les feuilles de styles sont désactivées (voir 9.3)</t>
  </si>
  <si>
    <t>voir 9,3</t>
  </si>
  <si>
    <t>10.4</t>
  </si>
  <si>
    <t>Dans chaque page web, le texte reste-t-il lisible lorsque la taille des caractères est augmentée jusqu’à 200%, au moins (hors cas particuliers) ?</t>
  </si>
  <si>
    <t xml:space="preserve">Aucun problème de lisibilité, que ce soit en zoom écran ou zoom texte à 200%. </t>
  </si>
  <si>
    <t>10.5</t>
  </si>
  <si>
    <t>Dans chaque page web, les déclarations CSS de couleurs de fond d’élément et de police sont-elles correctement utilisées ?</t>
  </si>
  <si>
    <t>Oui, chaque élément possède une couleur de fond et de polices, au moins, héritée d’un parent.</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</si>
  <si>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</si>
  <si>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</si>
  <si>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</si>
  <si>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</si>
  <si>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</si>
  <si>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</si>
  <si>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</si>
  <si>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</si>
  <si>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Le fait que les menu ou sous-menu soient ouvert/fermé n'est pas donné uniquement par la forme (trois trait/croix ou flèche gauche/droite) grâce à l'attribut aria-expanded true/false.</t>
  </si>
  <si>
    <t>10.10</t>
  </si>
  <si>
    <t>Dans chaque page web, l’information ne doit pas être donnée par la forme, taille ou position uniquement. Cette règle est-elle implémentée de façon pertinente ?</t>
  </si>
  <si>
    <t>L'implémentation via l'attribut aria-expanded est pertinente et réagit correctement selon si le menu est ouvert/fermé.</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</si>
  <si>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</si>
  <si>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</si>
  <si>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 effectué à 320px (sens de lecture horizontal)
Le composant se comporte correctement et il n'y a aucune perte d'information ou problème de lisibilité =&gt; passage en pleine page et niveau 1 qui disparaît lorsque le niveau 2 est ouvert.</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</si>
  <si>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</si>
  <si>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</si>
  <si>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</si>
  <si>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</si>
  <si>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</si>
  <si>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</si>
  <si>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</si>
  <si>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</si>
  <si>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</si>
  <si>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</si>
  <si>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</si>
  <si>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</si>
  <si>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</si>
  <si>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</si>
  <si>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</si>
  <si>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</si>
  <si>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</si>
  <si>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</si>
  <si>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</si>
  <si>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</si>
  <si>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</si>
  <si>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</si>
  <si>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</si>
  <si>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</si>
  <si>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</si>
  <si>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</si>
  <si>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</si>
  <si>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</si>
  <si>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</si>
  <si>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</si>
  <si>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</si>
  <si>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</si>
  <si>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</si>
  <si>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</si>
  <si>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</si>
  <si>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</si>
  <si>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</si>
  <si>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</si>
  <si>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</si>
  <si>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</si>
  <si>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</si>
  <si>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</si>
  <si>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</si>
  <si>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</si>
  <si>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</si>
  <si>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</si>
  <si>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</si>
  <si>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</si>
  <si>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</si>
  <si>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</si>
  <si>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</si>
  <si>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L'ordre de tabuation dans le contenu est cohérent.</t>
  </si>
  <si>
    <t>12.9</t>
  </si>
  <si>
    <t>Dans chaque page web, la navigation ne doit pas contenir de piège au clavier. Cette règle est-elle respectée ?</t>
  </si>
  <si>
    <t>Attention, aujourd'hui nous avons une balise dialog. Si on reste sur cette solution, il faut respecter le pattern Dialog avec un focus qui boucle uniquement dans les enfants focusables de cette boîte.</t>
  </si>
  <si>
    <t>mise en place d'un system de capture du focus</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</si>
  <si>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</si>
  <si>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</si>
  <si>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</si>
  <si>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</si>
  <si>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</si>
  <si>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</si>
  <si>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</si>
  <si>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</si>
  <si>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</si>
  <si>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</si>
  <si>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</si>
  <si>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</si>
  <si>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</si>
  <si>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</si>
  <si>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</si>
  <si>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</si>
  <si>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</si>
  <si>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</si>
  <si>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</si>
  <si>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</si>
  <si>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</si>
  <si>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</si>
  <si>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</si>
  <si>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</si>
  <si>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</si>
  <si>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</si>
  <si>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</si>
  <si>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</si>
  <si>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</si>
  <si>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</si>
  <si>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</si>
  <si>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Les menus de navigation doivent être structurer avec des listes</t>
  </si>
  <si>
    <t>- https://www.w3.org/WAI/WCAG21/Techniques/aria/ARIA11
- https://www.accede-web.com/notices/html-et-css/structure-generale/structurer-les-menus-de-navigation-avec-des-listes/</t>
  </si>
  <si>
    <t>Le menu burger répond au pattern W3C Disclosure Navigation.
Ainsi le bouton déclencheur (que ce soit celui du hamburger ou celui d'un sous-menu), doit :
  - avoir le rôle "button" (l'élément HTML button suffit)
  - avoir un attribut aria-controls qui référence le container caché identifié (la liste à puce) via son id
  - avoir un aria-expanded : "true" si menu ouvert, "false" si menu fermé
Par ailleurs, le lien correspondant à la page actuelle doit avoir l'attribut aria-current="page".
Le menu burger doit être placé dans une balise nav avec le role "navigation" avec un nom accessible.</t>
  </si>
  <si>
    <t>- https://www.w3.org/WAI/ARIA/apg/patterns/disclosure/examples/disclosure-navigation/
- https://www.accede-web.com/en/guidelines/rich-interface-components/hamburger-menu/</t>
  </si>
  <si>
    <t>Les interactions clavier sont :
  - Tab ou Shift+Tab (inverse) : Déplace le focus parmi les boutons de niveau supérieur/inférieur et, si liste déroulante ouverte, dans et à travers les liens de la liste déroulante =&gt; aucun bouclage
  - Entrée/Espace : Si focus sur le bouton déclencheur (que ce soit le burger menu ou celui d'un sous-menu), ouvre ou ferme le menu correspondant (aria-controls)
  - Echap : Si focus sur une liste déroulante (niveau 1 ou 2), ferme le menu courant =&gt; le sous-menu si focus sur niveau 2, le menu complet si focus sur niveau 1
D'autres interactions clavier (flèches, home et end) sont possibles facultativement =&gt; voir le lien W3C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</si>
</sst>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rgb="FF006100"/>
      <name val="Aptos Narrow"/>
      <scheme val="minor"/>
    </font>
    <font>
      <sz val="12"/>
      <color theme="9" tint="-0.499984740745262"/>
      <name val="Aptos Narrow"/>
      <scheme val="minor"/>
    </font>
    <font>
      <b/>
      <sz val="13.5"/>
      <color rgb="FF000000"/>
      <name val="Aptos Narrow"/>
      <charset val="1"/>
    </font>
    <font>
      <sz val="13.5"/>
      <color rgb="FF000000"/>
      <name val="Aptos Narrow"/>
      <charset val="1"/>
    </font>
  </fonts>
  <fills count="8">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rgb="FF000000"/>
      </patternFill>
    </fill>
    <fill>
      <patternFill patternType="solid">
        <fgColor rgb="FFC6EFCE"/>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4" fillId="6" borderId="5" xfId="0" applyFont="1" applyFill="1" applyBorder="1" applyAlignment="1">
      <alignment horizontal="left" vertical="top" wrapText="1"/>
    </xf>
    <xf numFmtId="0" fontId="3" fillId="2" borderId="5" xfId="0" applyFont="1" applyFill="1" applyBorder="1" applyAlignment="1">
      <alignment horizontal="left" vertical="top" wrapText="1"/>
    </xf>
    <xf numFmtId="0" fontId="15" fillId="7" borderId="5" xfId="0" applyFont="1" applyFill="1" applyBorder="1" applyAlignment="1">
      <alignment horizontal="left" vertical="top" wrapText="1"/>
    </xf>
    <xf numFmtId="0" fontId="15" fillId="7" borderId="5" xfId="0" applyFont="1" applyFill="1" applyBorder="1" applyAlignment="1">
      <alignment vertical="top" wrapText="1"/>
    </xf>
    <xf numFmtId="14" fontId="17" fillId="0" borderId="1" xfId="0" applyNumberFormat="1" applyFont="1" applyBorder="1"/>
    <xf numFmtId="0" fontId="17" fillId="0" borderId="12" xfId="0" applyFont="1" applyBorder="1"/>
    <xf numFmtId="9" fontId="16" fillId="0" borderId="12" xfId="0" applyNumberFormat="1" applyFont="1" applyBorder="1"/>
    <xf numFmtId="0" fontId="17" fillId="0" borderId="12" xfId="0" applyFont="1" applyBorder="1" applyAlignment="1">
      <alignment horizontal="right"/>
    </xf>
    <xf numFmtId="0" fontId="16" fillId="0" borderId="12" xfId="0" applyFont="1" applyBorder="1" applyAlignment="1">
      <alignment horizontal="right"/>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1" fillId="3" borderId="5" xfId="0" applyFont="1" applyFill="1" applyBorder="1" applyAlignment="1">
      <alignment horizontal="left"/>
    </xf>
    <xf numFmtId="0" fontId="2" fillId="5" borderId="0" xfId="0" applyFont="1" applyFill="1" applyAlignment="1">
      <alignment horizontal="center"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2" fillId="4" borderId="8" xfId="0" applyFont="1" applyFill="1" applyBorder="1" applyAlignment="1">
      <alignment horizontal="center" vertical="center" textRotation="90" wrapText="1"/>
    </xf>
  </cellXfs>
  <cellStyles count="2">
    <cellStyle name="Normal" xfId="0" builtinId="0"/>
    <cellStyle name="Pourcentage" xfId="1" builtinId="5"/>
  </cellStyles>
  <dxfs count="20">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6"/>
  <sheetViews>
    <sheetView tabSelected="1" zoomScale="110" zoomScaleNormal="110" workbookViewId="0">
      <selection activeCell="E2" sqref="E2"/>
    </sheetView>
  </sheetViews>
  <sheetFormatPr defaultColWidth="10.875" defaultRowHeight="15.95"/>
  <cols>
    <col min="1" max="1" width="15" style="1" customWidth="1"/>
    <col min="2" max="2" width="10.375" style="1" bestFit="1" customWidth="1"/>
    <col min="3" max="3" width="59.875" style="1" customWidth="1"/>
    <col min="4" max="4" width="15.125" style="1" bestFit="1" customWidth="1"/>
    <col min="5" max="5" width="115.125" style="1" customWidth="1"/>
    <col min="6" max="6" width="17.125" style="1" customWidth="1"/>
    <col min="7" max="16384" width="10.875" style="1"/>
  </cols>
  <sheetData>
    <row r="1" spans="1:6" ht="32.1" customHeight="1">
      <c r="A1" s="37" t="s">
        <v>0</v>
      </c>
      <c r="B1" s="37"/>
      <c r="C1" s="37"/>
      <c r="D1" s="37"/>
    </row>
    <row r="2" spans="1:6" ht="18.75">
      <c r="A2" s="42" t="s">
        <v>1</v>
      </c>
      <c r="B2" s="42"/>
      <c r="C2" s="42"/>
      <c r="D2" s="17" t="s">
        <v>2</v>
      </c>
      <c r="E2" s="26" t="s">
        <v>3</v>
      </c>
    </row>
    <row r="3" spans="1:6" ht="18.75">
      <c r="A3" s="38" t="s">
        <v>4</v>
      </c>
      <c r="B3" s="38"/>
      <c r="C3" s="38"/>
      <c r="D3" s="8">
        <v>45841</v>
      </c>
      <c r="E3" s="22">
        <v>45873</v>
      </c>
    </row>
    <row r="4" spans="1:6" ht="18.75">
      <c r="A4" s="39" t="s">
        <v>5</v>
      </c>
      <c r="B4" s="40"/>
      <c r="C4" s="41"/>
      <c r="D4" s="13" t="s">
        <v>6</v>
      </c>
      <c r="E4" s="25" t="s">
        <v>7</v>
      </c>
    </row>
    <row r="5" spans="1:6" ht="15.95" customHeight="1">
      <c r="A5" s="38" t="s">
        <v>8</v>
      </c>
      <c r="B5" s="38"/>
      <c r="C5" s="38"/>
      <c r="D5" s="9">
        <f xml:space="preserve"> COUNTIF($D$14:$D$119,"Conforme")</f>
        <v>12</v>
      </c>
      <c r="E5" s="23">
        <v>21</v>
      </c>
    </row>
    <row r="6" spans="1:6" ht="18.75">
      <c r="A6" s="38" t="s">
        <v>9</v>
      </c>
      <c r="B6" s="38"/>
      <c r="C6" s="38"/>
      <c r="D6" s="9">
        <f xml:space="preserve"> COUNTIF($D$14:$D$119,"Non conforme")</f>
        <v>9</v>
      </c>
      <c r="E6" s="23">
        <v>0</v>
      </c>
    </row>
    <row r="7" spans="1:6" ht="18.75">
      <c r="A7" s="38" t="s">
        <v>10</v>
      </c>
      <c r="B7" s="38"/>
      <c r="C7" s="38"/>
      <c r="D7" s="9">
        <f xml:space="preserve"> COUNTIF($D$14:$D$119,"Non applicable")</f>
        <v>85</v>
      </c>
      <c r="E7" s="23">
        <v>85</v>
      </c>
    </row>
    <row r="8" spans="1:6" ht="18.75">
      <c r="A8" s="38" t="s">
        <v>11</v>
      </c>
      <c r="B8" s="38"/>
      <c r="C8" s="38"/>
      <c r="D8" s="9">
        <f xml:space="preserve"> COUNTIF($D$14:$D$119,"Dérogé")</f>
        <v>0</v>
      </c>
      <c r="E8" s="23">
        <v>0</v>
      </c>
    </row>
    <row r="9" spans="1:6" ht="18.75">
      <c r="A9" s="38" t="s">
        <v>12</v>
      </c>
      <c r="B9" s="38"/>
      <c r="C9" s="38"/>
      <c r="D9" s="9">
        <f xml:space="preserve"> COUNTIF($D$14:$D$119,"Non testé")</f>
        <v>0</v>
      </c>
      <c r="E9" s="23">
        <v>0</v>
      </c>
    </row>
    <row r="10" spans="1:6" ht="18.95" customHeight="1">
      <c r="A10" s="27" t="s">
        <v>13</v>
      </c>
      <c r="B10" s="28"/>
      <c r="C10" s="29"/>
      <c r="D10" s="14">
        <f>IF(SUM(D5:D6)&gt;0,D5/SUM(D5:D6),"")</f>
        <v>0.5714285714285714</v>
      </c>
      <c r="E10" s="24">
        <v>1</v>
      </c>
    </row>
    <row r="11" spans="1:6" ht="18.95" customHeight="1">
      <c r="A11" s="27" t="s">
        <v>14</v>
      </c>
      <c r="B11" s="28"/>
      <c r="C11" s="29"/>
      <c r="D11" s="14">
        <f>IF(SUM(D5:D6)&gt;0,1-ROUND(D10,2),"")</f>
        <v>0.43000000000000005</v>
      </c>
      <c r="E11" s="24">
        <v>0</v>
      </c>
    </row>
    <row r="12" spans="1:6">
      <c r="A12" s="7"/>
      <c r="B12" s="7"/>
      <c r="C12" s="7"/>
    </row>
    <row r="13" spans="1:6" ht="18.95">
      <c r="A13" s="4" t="s">
        <v>15</v>
      </c>
      <c r="B13" s="4" t="s">
        <v>16</v>
      </c>
      <c r="C13" s="4" t="s">
        <v>17</v>
      </c>
      <c r="D13" s="4" t="s">
        <v>18</v>
      </c>
      <c r="E13" s="6" t="s">
        <v>19</v>
      </c>
      <c r="F13" s="15" t="s">
        <v>20</v>
      </c>
    </row>
    <row r="14" spans="1:6" ht="33.950000000000003">
      <c r="A14" s="43" t="s">
        <v>21</v>
      </c>
      <c r="B14" s="2" t="s">
        <v>22</v>
      </c>
      <c r="C14" s="3" t="s">
        <v>23</v>
      </c>
      <c r="D14" s="5" t="s">
        <v>24</v>
      </c>
      <c r="E14" s="11"/>
      <c r="F14" s="16"/>
    </row>
    <row r="15" spans="1:6" ht="61.5">
      <c r="A15" s="34"/>
      <c r="B15" s="2" t="s">
        <v>25</v>
      </c>
      <c r="C15" s="3" t="s">
        <v>26</v>
      </c>
      <c r="D15" s="5" t="s">
        <v>27</v>
      </c>
      <c r="E15" s="12" t="s">
        <v>28</v>
      </c>
      <c r="F15" s="20" t="s">
        <v>29</v>
      </c>
    </row>
    <row r="16" spans="1:6" ht="33.950000000000003">
      <c r="A16" s="34"/>
      <c r="B16" s="2" t="s">
        <v>30</v>
      </c>
      <c r="C16" s="3" t="s">
        <v>31</v>
      </c>
      <c r="D16" s="5" t="s">
        <v>24</v>
      </c>
      <c r="E16" s="11"/>
      <c r="F16" s="16"/>
    </row>
    <row r="17" spans="1:6" ht="51">
      <c r="A17" s="34"/>
      <c r="B17" s="2" t="s">
        <v>32</v>
      </c>
      <c r="C17" s="3" t="s">
        <v>33</v>
      </c>
      <c r="D17" s="5" t="s">
        <v>24</v>
      </c>
      <c r="E17" s="11"/>
      <c r="F17" s="16"/>
    </row>
    <row r="18" spans="1:6" ht="33.950000000000003">
      <c r="A18" s="34"/>
      <c r="B18" s="2" t="s">
        <v>34</v>
      </c>
      <c r="C18" s="3" t="s">
        <v>35</v>
      </c>
      <c r="D18" s="5" t="s">
        <v>24</v>
      </c>
      <c r="E18" s="11"/>
      <c r="F18" s="16"/>
    </row>
    <row r="19" spans="1:6" ht="33.950000000000003">
      <c r="A19" s="34"/>
      <c r="B19" s="2" t="s">
        <v>36</v>
      </c>
      <c r="C19" s="3" t="s">
        <v>37</v>
      </c>
      <c r="D19" s="5" t="s">
        <v>24</v>
      </c>
      <c r="E19" s="11"/>
      <c r="F19" s="16"/>
    </row>
    <row r="20" spans="1:6" ht="33.950000000000003">
      <c r="A20" s="34"/>
      <c r="B20" s="2" t="s">
        <v>38</v>
      </c>
      <c r="C20" s="3" t="s">
        <v>39</v>
      </c>
      <c r="D20" s="5" t="s">
        <v>24</v>
      </c>
      <c r="E20" s="11"/>
      <c r="F20" s="16"/>
    </row>
    <row r="21" spans="1:6" ht="51">
      <c r="A21" s="34"/>
      <c r="B21" s="2" t="s">
        <v>40</v>
      </c>
      <c r="C21" s="3" t="s">
        <v>41</v>
      </c>
      <c r="D21" s="5" t="s">
        <v>24</v>
      </c>
      <c r="E21" s="11"/>
      <c r="F21" s="16"/>
    </row>
    <row r="22" spans="1:6" ht="33.950000000000003">
      <c r="A22" s="35"/>
      <c r="B22" s="2" t="s">
        <v>42</v>
      </c>
      <c r="C22" s="3" t="s">
        <v>43</v>
      </c>
      <c r="D22" s="5" t="s">
        <v>24</v>
      </c>
      <c r="E22" s="11"/>
      <c r="F22" s="16"/>
    </row>
    <row r="23" spans="1:6" ht="18.95">
      <c r="A23" s="33" t="s">
        <v>44</v>
      </c>
      <c r="B23" s="2" t="s">
        <v>45</v>
      </c>
      <c r="C23" s="3" t="s">
        <v>46</v>
      </c>
      <c r="D23" s="5" t="s">
        <v>24</v>
      </c>
      <c r="E23" s="11"/>
      <c r="F23" s="16"/>
    </row>
    <row r="24" spans="1:6" ht="33.950000000000003">
      <c r="A24" s="35"/>
      <c r="B24" s="2" t="s">
        <v>47</v>
      </c>
      <c r="C24" s="3" t="s">
        <v>48</v>
      </c>
      <c r="D24" s="5" t="s">
        <v>24</v>
      </c>
      <c r="E24" s="11"/>
      <c r="F24" s="16"/>
    </row>
    <row r="25" spans="1:6" ht="33.950000000000003">
      <c r="A25" s="33" t="s">
        <v>49</v>
      </c>
      <c r="B25" s="2" t="s">
        <v>50</v>
      </c>
      <c r="C25" s="3" t="s">
        <v>51</v>
      </c>
      <c r="D25" s="5" t="s">
        <v>24</v>
      </c>
      <c r="E25" s="11"/>
      <c r="F25" s="16"/>
    </row>
    <row r="26" spans="1:6" ht="186.95">
      <c r="A26" s="34"/>
      <c r="B26" s="2" t="s">
        <v>52</v>
      </c>
      <c r="C26" s="3" t="s">
        <v>53</v>
      </c>
      <c r="D26" s="5" t="s">
        <v>54</v>
      </c>
      <c r="E26" s="11" t="s">
        <v>55</v>
      </c>
      <c r="F26" s="16"/>
    </row>
    <row r="27" spans="1:6" ht="84.95">
      <c r="A27" s="35"/>
      <c r="B27" s="2" t="s">
        <v>56</v>
      </c>
      <c r="C27" s="3" t="s">
        <v>57</v>
      </c>
      <c r="D27" s="5" t="s">
        <v>54</v>
      </c>
      <c r="E27" s="11" t="s">
        <v>58</v>
      </c>
      <c r="F27" s="16"/>
    </row>
    <row r="28" spans="1:6" ht="33.950000000000003">
      <c r="A28" s="33" t="s">
        <v>59</v>
      </c>
      <c r="B28" s="2" t="s">
        <v>60</v>
      </c>
      <c r="C28" s="3" t="s">
        <v>61</v>
      </c>
      <c r="D28" s="5" t="s">
        <v>24</v>
      </c>
      <c r="E28" s="11"/>
      <c r="F28" s="16"/>
    </row>
    <row r="29" spans="1:6" ht="51">
      <c r="A29" s="34"/>
      <c r="B29" s="2" t="s">
        <v>62</v>
      </c>
      <c r="C29" s="3" t="s">
        <v>63</v>
      </c>
      <c r="D29" s="5" t="s">
        <v>24</v>
      </c>
      <c r="E29" s="11"/>
      <c r="F29" s="16"/>
    </row>
    <row r="30" spans="1:6" ht="33.950000000000003">
      <c r="A30" s="34"/>
      <c r="B30" s="2" t="s">
        <v>64</v>
      </c>
      <c r="C30" s="3" t="s">
        <v>65</v>
      </c>
      <c r="D30" s="5" t="s">
        <v>24</v>
      </c>
      <c r="E30" s="11"/>
      <c r="F30" s="16"/>
    </row>
    <row r="31" spans="1:6" ht="33.950000000000003">
      <c r="A31" s="34"/>
      <c r="B31" s="2" t="s">
        <v>66</v>
      </c>
      <c r="C31" s="3" t="s">
        <v>67</v>
      </c>
      <c r="D31" s="5" t="s">
        <v>24</v>
      </c>
      <c r="E31" s="11"/>
      <c r="F31" s="16"/>
    </row>
    <row r="32" spans="1:6" ht="33.950000000000003">
      <c r="A32" s="34"/>
      <c r="B32" s="2" t="s">
        <v>68</v>
      </c>
      <c r="C32" s="3" t="s">
        <v>69</v>
      </c>
      <c r="D32" s="5" t="s">
        <v>24</v>
      </c>
      <c r="E32" s="11"/>
      <c r="F32" s="16"/>
    </row>
    <row r="33" spans="1:6" ht="33.950000000000003">
      <c r="A33" s="34"/>
      <c r="B33" s="2" t="s">
        <v>70</v>
      </c>
      <c r="C33" s="3" t="s">
        <v>71</v>
      </c>
      <c r="D33" s="5" t="s">
        <v>24</v>
      </c>
      <c r="E33" s="11"/>
      <c r="F33" s="16"/>
    </row>
    <row r="34" spans="1:6" ht="33.950000000000003">
      <c r="A34" s="34"/>
      <c r="B34" s="2" t="s">
        <v>72</v>
      </c>
      <c r="C34" s="3" t="s">
        <v>73</v>
      </c>
      <c r="D34" s="5" t="s">
        <v>24</v>
      </c>
      <c r="E34" s="11"/>
      <c r="F34" s="16"/>
    </row>
    <row r="35" spans="1:6" ht="33.950000000000003">
      <c r="A35" s="34"/>
      <c r="B35" s="2" t="s">
        <v>74</v>
      </c>
      <c r="C35" s="3" t="s">
        <v>75</v>
      </c>
      <c r="D35" s="5" t="s">
        <v>24</v>
      </c>
      <c r="E35" s="11"/>
      <c r="F35" s="16"/>
    </row>
    <row r="36" spans="1:6" ht="33.950000000000003">
      <c r="A36" s="34"/>
      <c r="B36" s="2" t="s">
        <v>76</v>
      </c>
      <c r="C36" s="3" t="s">
        <v>77</v>
      </c>
      <c r="D36" s="5" t="s">
        <v>24</v>
      </c>
      <c r="E36" s="11"/>
      <c r="F36" s="16"/>
    </row>
    <row r="37" spans="1:6" ht="33.950000000000003">
      <c r="A37" s="34"/>
      <c r="B37" s="2" t="s">
        <v>78</v>
      </c>
      <c r="C37" s="3" t="s">
        <v>79</v>
      </c>
      <c r="D37" s="5" t="s">
        <v>24</v>
      </c>
      <c r="E37" s="11"/>
      <c r="F37" s="16"/>
    </row>
    <row r="38" spans="1:6" ht="33.950000000000003">
      <c r="A38" s="34"/>
      <c r="B38" s="2" t="s">
        <v>80</v>
      </c>
      <c r="C38" s="3" t="s">
        <v>81</v>
      </c>
      <c r="D38" s="5" t="s">
        <v>24</v>
      </c>
      <c r="E38" s="11"/>
      <c r="F38" s="16"/>
    </row>
    <row r="39" spans="1:6" ht="33.950000000000003">
      <c r="A39" s="34"/>
      <c r="B39" s="2" t="s">
        <v>82</v>
      </c>
      <c r="C39" s="3" t="s">
        <v>83</v>
      </c>
      <c r="D39" s="5" t="s">
        <v>24</v>
      </c>
      <c r="E39" s="11"/>
      <c r="F39" s="16"/>
    </row>
    <row r="40" spans="1:6" ht="33.950000000000003">
      <c r="A40" s="35"/>
      <c r="B40" s="2" t="s">
        <v>84</v>
      </c>
      <c r="C40" s="3" t="s">
        <v>85</v>
      </c>
      <c r="D40" s="5" t="s">
        <v>24</v>
      </c>
      <c r="E40" s="11"/>
      <c r="F40" s="16"/>
    </row>
    <row r="41" spans="1:6" ht="18.95">
      <c r="A41" s="33" t="s">
        <v>86</v>
      </c>
      <c r="B41" s="2" t="s">
        <v>87</v>
      </c>
      <c r="C41" s="3" t="s">
        <v>88</v>
      </c>
      <c r="D41" s="5" t="s">
        <v>24</v>
      </c>
      <c r="E41" s="11"/>
      <c r="F41" s="16"/>
    </row>
    <row r="42" spans="1:6" ht="33.950000000000003">
      <c r="A42" s="34"/>
      <c r="B42" s="2" t="s">
        <v>89</v>
      </c>
      <c r="C42" s="3" t="s">
        <v>90</v>
      </c>
      <c r="D42" s="5" t="s">
        <v>24</v>
      </c>
      <c r="E42" s="11"/>
      <c r="F42" s="16"/>
    </row>
    <row r="43" spans="1:6" ht="33.950000000000003">
      <c r="A43" s="34"/>
      <c r="B43" s="2" t="s">
        <v>91</v>
      </c>
      <c r="C43" s="3" t="s">
        <v>92</v>
      </c>
      <c r="D43" s="5" t="s">
        <v>24</v>
      </c>
      <c r="E43" s="11"/>
      <c r="F43" s="16"/>
    </row>
    <row r="44" spans="1:6" ht="33.950000000000003">
      <c r="A44" s="34"/>
      <c r="B44" s="2" t="s">
        <v>93</v>
      </c>
      <c r="C44" s="3" t="s">
        <v>94</v>
      </c>
      <c r="D44" s="5" t="s">
        <v>24</v>
      </c>
      <c r="E44" s="11"/>
      <c r="F44" s="16"/>
    </row>
    <row r="45" spans="1:6" ht="18.95">
      <c r="A45" s="34"/>
      <c r="B45" s="2" t="s">
        <v>95</v>
      </c>
      <c r="C45" s="3" t="s">
        <v>96</v>
      </c>
      <c r="D45" s="5" t="s">
        <v>24</v>
      </c>
      <c r="E45" s="11"/>
      <c r="F45" s="16"/>
    </row>
    <row r="46" spans="1:6" ht="33.950000000000003">
      <c r="A46" s="34"/>
      <c r="B46" s="2" t="s">
        <v>97</v>
      </c>
      <c r="C46" s="3" t="s">
        <v>98</v>
      </c>
      <c r="D46" s="5" t="s">
        <v>24</v>
      </c>
      <c r="E46" s="11"/>
      <c r="F46" s="16"/>
    </row>
    <row r="47" spans="1:6" ht="51">
      <c r="A47" s="34"/>
      <c r="B47" s="2" t="s">
        <v>99</v>
      </c>
      <c r="C47" s="3" t="s">
        <v>100</v>
      </c>
      <c r="D47" s="5" t="s">
        <v>24</v>
      </c>
      <c r="E47" s="11"/>
      <c r="F47" s="16"/>
    </row>
    <row r="48" spans="1:6" ht="33.950000000000003">
      <c r="A48" s="35"/>
      <c r="B48" s="2" t="s">
        <v>101</v>
      </c>
      <c r="C48" s="3" t="s">
        <v>102</v>
      </c>
      <c r="D48" s="5" t="s">
        <v>24</v>
      </c>
      <c r="E48" s="11"/>
      <c r="F48" s="16"/>
    </row>
    <row r="49" spans="1:6" ht="18.95">
      <c r="A49" s="33" t="s">
        <v>103</v>
      </c>
      <c r="B49" s="2" t="s">
        <v>104</v>
      </c>
      <c r="C49" s="3" t="s">
        <v>105</v>
      </c>
      <c r="D49" s="5" t="s">
        <v>24</v>
      </c>
      <c r="E49" s="11" t="s">
        <v>106</v>
      </c>
      <c r="F49" s="16"/>
    </row>
    <row r="50" spans="1:6" ht="18.95">
      <c r="A50" s="35"/>
      <c r="B50" s="2" t="s">
        <v>107</v>
      </c>
      <c r="C50" s="3" t="s">
        <v>108</v>
      </c>
      <c r="D50" s="5" t="s">
        <v>24</v>
      </c>
      <c r="E50" s="11" t="s">
        <v>109</v>
      </c>
      <c r="F50" s="16"/>
    </row>
    <row r="51" spans="1:6" ht="409.6">
      <c r="A51" s="33" t="s">
        <v>110</v>
      </c>
      <c r="B51" s="2" t="s">
        <v>111</v>
      </c>
      <c r="C51" s="3" t="s">
        <v>112</v>
      </c>
      <c r="D51" s="5" t="s">
        <v>27</v>
      </c>
      <c r="E51" s="11" t="s">
        <v>113</v>
      </c>
      <c r="F51" s="21" t="s">
        <v>114</v>
      </c>
    </row>
    <row r="52" spans="1:6" ht="33.950000000000003">
      <c r="A52" s="34"/>
      <c r="B52" s="2" t="s">
        <v>115</v>
      </c>
      <c r="C52" s="3" t="s">
        <v>116</v>
      </c>
      <c r="D52" s="5" t="s">
        <v>24</v>
      </c>
      <c r="E52" s="11"/>
      <c r="F52" s="16"/>
    </row>
    <row r="53" spans="1:6" ht="221.1" customHeight="1">
      <c r="A53" s="34"/>
      <c r="B53" s="2" t="s">
        <v>117</v>
      </c>
      <c r="C53" s="3" t="s">
        <v>118</v>
      </c>
      <c r="D53" s="5" t="s">
        <v>27</v>
      </c>
      <c r="E53" s="11" t="s">
        <v>119</v>
      </c>
      <c r="F53" s="20" t="s">
        <v>120</v>
      </c>
    </row>
    <row r="54" spans="1:6" ht="33.950000000000003">
      <c r="A54" s="34"/>
      <c r="B54" s="2" t="s">
        <v>121</v>
      </c>
      <c r="C54" s="3" t="s">
        <v>122</v>
      </c>
      <c r="D54" s="5" t="s">
        <v>24</v>
      </c>
      <c r="E54" s="11"/>
      <c r="F54" s="16"/>
    </row>
    <row r="55" spans="1:6" ht="33.950000000000003">
      <c r="A55" s="35"/>
      <c r="B55" s="2" t="s">
        <v>123</v>
      </c>
      <c r="C55" s="3" t="s">
        <v>124</v>
      </c>
      <c r="D55" s="5" t="s">
        <v>24</v>
      </c>
      <c r="E55" s="11"/>
      <c r="F55" s="16"/>
    </row>
    <row r="56" spans="1:6" ht="18.95">
      <c r="A56" s="33" t="s">
        <v>125</v>
      </c>
      <c r="B56" s="2" t="s">
        <v>126</v>
      </c>
      <c r="C56" s="3" t="s">
        <v>127</v>
      </c>
      <c r="D56" s="5" t="s">
        <v>24</v>
      </c>
      <c r="E56" s="11"/>
      <c r="F56" s="16"/>
    </row>
    <row r="57" spans="1:6" ht="32.25">
      <c r="A57" s="34"/>
      <c r="B57" s="2" t="s">
        <v>128</v>
      </c>
      <c r="C57" s="3" t="s">
        <v>129</v>
      </c>
      <c r="D57" s="5" t="s">
        <v>27</v>
      </c>
      <c r="E57" s="11" t="s">
        <v>130</v>
      </c>
      <c r="F57" s="20" t="s">
        <v>131</v>
      </c>
    </row>
    <row r="58" spans="1:6" ht="18.95">
      <c r="A58" s="34"/>
      <c r="B58" s="2" t="s">
        <v>132</v>
      </c>
      <c r="C58" s="3" t="s">
        <v>133</v>
      </c>
      <c r="D58" s="5" t="s">
        <v>24</v>
      </c>
      <c r="E58" s="11"/>
      <c r="F58" s="16"/>
    </row>
    <row r="59" spans="1:6" ht="33.950000000000003">
      <c r="A59" s="34"/>
      <c r="B59" s="2" t="s">
        <v>134</v>
      </c>
      <c r="C59" s="3" t="s">
        <v>135</v>
      </c>
      <c r="D59" s="5" t="s">
        <v>24</v>
      </c>
      <c r="E59" s="11"/>
      <c r="F59" s="16"/>
    </row>
    <row r="60" spans="1:6" ht="18.95">
      <c r="A60" s="34"/>
      <c r="B60" s="2" t="s">
        <v>136</v>
      </c>
      <c r="C60" s="3" t="s">
        <v>137</v>
      </c>
      <c r="D60" s="5" t="s">
        <v>24</v>
      </c>
      <c r="E60" s="11"/>
      <c r="F60" s="16"/>
    </row>
    <row r="61" spans="1:6" ht="18.95">
      <c r="A61" s="34"/>
      <c r="B61" s="2" t="s">
        <v>138</v>
      </c>
      <c r="C61" s="3" t="s">
        <v>139</v>
      </c>
      <c r="D61" s="5" t="s">
        <v>24</v>
      </c>
      <c r="E61" s="11"/>
      <c r="F61" s="16"/>
    </row>
    <row r="62" spans="1:6" ht="33.950000000000003">
      <c r="A62" s="34"/>
      <c r="B62" s="2" t="s">
        <v>140</v>
      </c>
      <c r="C62" s="3" t="s">
        <v>141</v>
      </c>
      <c r="D62" s="5" t="s">
        <v>24</v>
      </c>
      <c r="E62" s="11"/>
      <c r="F62" s="16"/>
    </row>
    <row r="63" spans="1:6" ht="33.950000000000003">
      <c r="A63" s="34"/>
      <c r="B63" s="2" t="s">
        <v>142</v>
      </c>
      <c r="C63" s="3" t="s">
        <v>143</v>
      </c>
      <c r="D63" s="5" t="s">
        <v>24</v>
      </c>
      <c r="E63" s="11"/>
      <c r="F63" s="16"/>
    </row>
    <row r="64" spans="1:6" ht="33.950000000000003">
      <c r="A64" s="34"/>
      <c r="B64" s="2" t="s">
        <v>144</v>
      </c>
      <c r="C64" s="3" t="s">
        <v>145</v>
      </c>
      <c r="D64" s="5" t="s">
        <v>24</v>
      </c>
      <c r="E64" s="11"/>
      <c r="F64" s="16"/>
    </row>
    <row r="65" spans="1:6" ht="33.950000000000003">
      <c r="A65" s="35"/>
      <c r="B65" s="2" t="s">
        <v>146</v>
      </c>
      <c r="C65" s="3" t="s">
        <v>147</v>
      </c>
      <c r="D65" s="5" t="s">
        <v>24</v>
      </c>
      <c r="E65" s="11"/>
      <c r="F65" s="16"/>
    </row>
    <row r="66" spans="1:6" ht="61.5">
      <c r="A66" s="33" t="s">
        <v>148</v>
      </c>
      <c r="B66" s="2" t="s">
        <v>149</v>
      </c>
      <c r="C66" s="3" t="s">
        <v>150</v>
      </c>
      <c r="D66" s="5" t="s">
        <v>27</v>
      </c>
      <c r="E66" s="11" t="s">
        <v>151</v>
      </c>
      <c r="F66" s="21" t="s">
        <v>152</v>
      </c>
    </row>
    <row r="67" spans="1:6" ht="46.5">
      <c r="A67" s="34"/>
      <c r="B67" s="2" t="s">
        <v>153</v>
      </c>
      <c r="C67" s="3" t="s">
        <v>154</v>
      </c>
      <c r="D67" s="5" t="s">
        <v>27</v>
      </c>
      <c r="E67" s="11" t="s">
        <v>155</v>
      </c>
      <c r="F67" s="21" t="s">
        <v>156</v>
      </c>
    </row>
    <row r="68" spans="1:6" ht="77.25">
      <c r="A68" s="34"/>
      <c r="B68" s="2" t="s">
        <v>157</v>
      </c>
      <c r="C68" s="3" t="s">
        <v>158</v>
      </c>
      <c r="D68" s="5" t="s">
        <v>27</v>
      </c>
      <c r="E68" s="11" t="s">
        <v>159</v>
      </c>
      <c r="F68" s="21" t="s">
        <v>160</v>
      </c>
    </row>
    <row r="69" spans="1:6" ht="33.950000000000003">
      <c r="A69" s="35"/>
      <c r="B69" s="2" t="s">
        <v>161</v>
      </c>
      <c r="C69" s="3" t="s">
        <v>162</v>
      </c>
      <c r="D69" s="5" t="s">
        <v>24</v>
      </c>
      <c r="E69" s="11"/>
      <c r="F69" s="16"/>
    </row>
    <row r="70" spans="1:6" ht="51">
      <c r="A70" s="33" t="s">
        <v>163</v>
      </c>
      <c r="B70" s="2" t="s">
        <v>164</v>
      </c>
      <c r="C70" s="3" t="s">
        <v>165</v>
      </c>
      <c r="D70" s="5" t="s">
        <v>54</v>
      </c>
      <c r="E70" s="11" t="s">
        <v>166</v>
      </c>
      <c r="F70" s="16"/>
    </row>
    <row r="71" spans="1:6" ht="33.950000000000003">
      <c r="A71" s="34"/>
      <c r="B71" s="2" t="s">
        <v>167</v>
      </c>
      <c r="C71" s="3" t="s">
        <v>168</v>
      </c>
      <c r="D71" s="5" t="s">
        <v>54</v>
      </c>
      <c r="E71" s="11" t="s">
        <v>169</v>
      </c>
      <c r="F71" s="16"/>
    </row>
    <row r="72" spans="1:6" ht="32.25">
      <c r="A72" s="34"/>
      <c r="B72" s="2" t="s">
        <v>170</v>
      </c>
      <c r="C72" s="3" t="s">
        <v>171</v>
      </c>
      <c r="D72" s="5" t="s">
        <v>27</v>
      </c>
      <c r="E72" s="11" t="s">
        <v>172</v>
      </c>
      <c r="F72" s="21" t="s">
        <v>173</v>
      </c>
    </row>
    <row r="73" spans="1:6" ht="51">
      <c r="A73" s="34"/>
      <c r="B73" s="2" t="s">
        <v>174</v>
      </c>
      <c r="C73" s="3" t="s">
        <v>175</v>
      </c>
      <c r="D73" s="5" t="s">
        <v>54</v>
      </c>
      <c r="E73" s="11" t="s">
        <v>176</v>
      </c>
      <c r="F73" s="16"/>
    </row>
    <row r="74" spans="1:6" ht="33.950000000000003">
      <c r="A74" s="34"/>
      <c r="B74" s="2" t="s">
        <v>177</v>
      </c>
      <c r="C74" s="3" t="s">
        <v>178</v>
      </c>
      <c r="D74" s="5" t="s">
        <v>54</v>
      </c>
      <c r="E74" s="11" t="s">
        <v>179</v>
      </c>
      <c r="F74" s="16"/>
    </row>
    <row r="75" spans="1:6" ht="33.950000000000003">
      <c r="A75" s="34"/>
      <c r="B75" s="2" t="s">
        <v>180</v>
      </c>
      <c r="C75" s="3" t="s">
        <v>181</v>
      </c>
      <c r="D75" s="5" t="s">
        <v>24</v>
      </c>
      <c r="E75" s="11"/>
      <c r="F75" s="16"/>
    </row>
    <row r="76" spans="1:6" ht="32.25">
      <c r="A76" s="34"/>
      <c r="B76" s="2" t="s">
        <v>182</v>
      </c>
      <c r="C76" s="3" t="s">
        <v>183</v>
      </c>
      <c r="D76" s="5" t="s">
        <v>54</v>
      </c>
      <c r="E76" s="19"/>
      <c r="F76" s="16"/>
    </row>
    <row r="77" spans="1:6" ht="33.950000000000003">
      <c r="A77" s="34"/>
      <c r="B77" s="2" t="s">
        <v>184</v>
      </c>
      <c r="C77" s="3" t="s">
        <v>185</v>
      </c>
      <c r="D77" s="5" t="s">
        <v>24</v>
      </c>
      <c r="E77" s="11"/>
      <c r="F77" s="16"/>
    </row>
    <row r="78" spans="1:6" ht="51">
      <c r="A78" s="34"/>
      <c r="B78" s="2" t="s">
        <v>186</v>
      </c>
      <c r="C78" s="3" t="s">
        <v>187</v>
      </c>
      <c r="D78" s="5" t="s">
        <v>54</v>
      </c>
      <c r="E78" s="11" t="s">
        <v>188</v>
      </c>
      <c r="F78" s="16"/>
    </row>
    <row r="79" spans="1:6" ht="51">
      <c r="A79" s="34"/>
      <c r="B79" s="2" t="s">
        <v>189</v>
      </c>
      <c r="C79" s="3" t="s">
        <v>190</v>
      </c>
      <c r="D79" s="5" t="s">
        <v>54</v>
      </c>
      <c r="E79" s="11" t="s">
        <v>191</v>
      </c>
      <c r="F79" s="16"/>
    </row>
    <row r="80" spans="1:6" ht="84.95">
      <c r="A80" s="34"/>
      <c r="B80" s="2" t="s">
        <v>192</v>
      </c>
      <c r="C80" s="3" t="s">
        <v>193</v>
      </c>
      <c r="D80" s="5" t="s">
        <v>54</v>
      </c>
      <c r="E80" s="18" t="s">
        <v>194</v>
      </c>
      <c r="F80" s="16"/>
    </row>
    <row r="81" spans="1:6" ht="119.1">
      <c r="A81" s="34"/>
      <c r="B81" s="2" t="s">
        <v>195</v>
      </c>
      <c r="C81" s="3" t="s">
        <v>196</v>
      </c>
      <c r="D81" s="5" t="s">
        <v>54</v>
      </c>
      <c r="E81" s="11" t="s">
        <v>197</v>
      </c>
      <c r="F81" s="16"/>
    </row>
    <row r="82" spans="1:6" ht="51">
      <c r="A82" s="34"/>
      <c r="B82" s="2" t="s">
        <v>198</v>
      </c>
      <c r="C82" s="3" t="s">
        <v>199</v>
      </c>
      <c r="D82" s="5" t="s">
        <v>24</v>
      </c>
      <c r="E82" s="11"/>
      <c r="F82" s="16"/>
    </row>
    <row r="83" spans="1:6" ht="51">
      <c r="A83" s="35"/>
      <c r="B83" s="2" t="s">
        <v>200</v>
      </c>
      <c r="C83" s="3" t="s">
        <v>201</v>
      </c>
      <c r="D83" s="5" t="s">
        <v>24</v>
      </c>
      <c r="E83" s="11"/>
      <c r="F83" s="16"/>
    </row>
    <row r="84" spans="1:6" ht="18.95">
      <c r="A84" s="33" t="s">
        <v>202</v>
      </c>
      <c r="B84" s="2" t="s">
        <v>203</v>
      </c>
      <c r="C84" s="3" t="s">
        <v>204</v>
      </c>
      <c r="D84" s="5" t="s">
        <v>24</v>
      </c>
      <c r="E84" s="11"/>
      <c r="F84" s="16"/>
    </row>
    <row r="85" spans="1:6" ht="33.950000000000003">
      <c r="A85" s="34"/>
      <c r="B85" s="2" t="s">
        <v>205</v>
      </c>
      <c r="C85" s="3" t="s">
        <v>206</v>
      </c>
      <c r="D85" s="5" t="s">
        <v>24</v>
      </c>
      <c r="E85" s="11"/>
      <c r="F85" s="16"/>
    </row>
    <row r="86" spans="1:6" ht="51">
      <c r="A86" s="34"/>
      <c r="B86" s="2" t="s">
        <v>207</v>
      </c>
      <c r="C86" s="3" t="s">
        <v>208</v>
      </c>
      <c r="D86" s="5" t="s">
        <v>24</v>
      </c>
      <c r="E86" s="11"/>
      <c r="F86" s="16"/>
    </row>
    <row r="87" spans="1:6" ht="33.950000000000003">
      <c r="A87" s="34"/>
      <c r="B87" s="2" t="s">
        <v>209</v>
      </c>
      <c r="C87" s="3" t="s">
        <v>210</v>
      </c>
      <c r="D87" s="5" t="s">
        <v>24</v>
      </c>
      <c r="E87" s="11"/>
      <c r="F87" s="16"/>
    </row>
    <row r="88" spans="1:6" ht="33.950000000000003">
      <c r="A88" s="34"/>
      <c r="B88" s="2" t="s">
        <v>211</v>
      </c>
      <c r="C88" s="3" t="s">
        <v>212</v>
      </c>
      <c r="D88" s="5" t="s">
        <v>24</v>
      </c>
      <c r="E88" s="11"/>
      <c r="F88" s="16"/>
    </row>
    <row r="89" spans="1:6" ht="33.950000000000003">
      <c r="A89" s="34"/>
      <c r="B89" s="2" t="s">
        <v>213</v>
      </c>
      <c r="C89" s="3" t="s">
        <v>214</v>
      </c>
      <c r="D89" s="5" t="s">
        <v>24</v>
      </c>
      <c r="E89" s="11"/>
      <c r="F89" s="16"/>
    </row>
    <row r="90" spans="1:6" ht="33.950000000000003">
      <c r="A90" s="34"/>
      <c r="B90" s="2" t="s">
        <v>215</v>
      </c>
      <c r="C90" s="3" t="s">
        <v>216</v>
      </c>
      <c r="D90" s="5" t="s">
        <v>24</v>
      </c>
      <c r="E90" s="11"/>
      <c r="F90" s="16"/>
    </row>
    <row r="91" spans="1:6" ht="33.950000000000003">
      <c r="A91" s="34"/>
      <c r="B91" s="2" t="s">
        <v>217</v>
      </c>
      <c r="C91" s="3" t="s">
        <v>218</v>
      </c>
      <c r="D91" s="5" t="s">
        <v>24</v>
      </c>
      <c r="E91" s="11"/>
      <c r="F91" s="16"/>
    </row>
    <row r="92" spans="1:6" ht="33.950000000000003">
      <c r="A92" s="34"/>
      <c r="B92" s="2" t="s">
        <v>219</v>
      </c>
      <c r="C92" s="3" t="s">
        <v>220</v>
      </c>
      <c r="D92" s="5" t="s">
        <v>24</v>
      </c>
      <c r="E92" s="11"/>
      <c r="F92" s="16"/>
    </row>
    <row r="93" spans="1:6" ht="33.950000000000003">
      <c r="A93" s="34"/>
      <c r="B93" s="2" t="s">
        <v>221</v>
      </c>
      <c r="C93" s="3" t="s">
        <v>222</v>
      </c>
      <c r="D93" s="5" t="s">
        <v>24</v>
      </c>
      <c r="E93" s="11"/>
      <c r="F93" s="16"/>
    </row>
    <row r="94" spans="1:6" ht="33.950000000000003">
      <c r="A94" s="34"/>
      <c r="B94" s="2" t="s">
        <v>223</v>
      </c>
      <c r="C94" s="3" t="s">
        <v>224</v>
      </c>
      <c r="D94" s="5" t="s">
        <v>24</v>
      </c>
      <c r="E94" s="11"/>
      <c r="F94" s="16"/>
    </row>
    <row r="95" spans="1:6" ht="84.95">
      <c r="A95" s="34"/>
      <c r="B95" s="2" t="s">
        <v>225</v>
      </c>
      <c r="C95" s="3" t="s">
        <v>226</v>
      </c>
      <c r="D95" s="5" t="s">
        <v>24</v>
      </c>
      <c r="E95" s="11"/>
      <c r="F95" s="16"/>
    </row>
    <row r="96" spans="1:6" ht="33.950000000000003">
      <c r="A96" s="35"/>
      <c r="B96" s="2" t="s">
        <v>227</v>
      </c>
      <c r="C96" s="3" t="s">
        <v>228</v>
      </c>
      <c r="D96" s="5" t="s">
        <v>24</v>
      </c>
      <c r="E96" s="11"/>
      <c r="F96" s="16"/>
    </row>
    <row r="97" spans="1:6" ht="33.950000000000003">
      <c r="A97" s="33" t="s">
        <v>229</v>
      </c>
      <c r="B97" s="2" t="s">
        <v>230</v>
      </c>
      <c r="C97" s="3" t="s">
        <v>231</v>
      </c>
      <c r="D97" s="5" t="s">
        <v>24</v>
      </c>
      <c r="E97" s="11"/>
      <c r="F97" s="16"/>
    </row>
    <row r="98" spans="1:6" ht="33.950000000000003">
      <c r="A98" s="34"/>
      <c r="B98" s="2" t="s">
        <v>232</v>
      </c>
      <c r="C98" s="3" t="s">
        <v>233</v>
      </c>
      <c r="D98" s="5" t="s">
        <v>24</v>
      </c>
      <c r="E98" s="11"/>
      <c r="F98" s="16"/>
    </row>
    <row r="99" spans="1:6" ht="18.95">
      <c r="A99" s="34"/>
      <c r="B99" s="2" t="s">
        <v>234</v>
      </c>
      <c r="C99" s="3" t="s">
        <v>235</v>
      </c>
      <c r="D99" s="5" t="s">
        <v>24</v>
      </c>
      <c r="E99" s="11"/>
      <c r="F99" s="16"/>
    </row>
    <row r="100" spans="1:6" ht="33.950000000000003">
      <c r="A100" s="34"/>
      <c r="B100" s="2" t="s">
        <v>236</v>
      </c>
      <c r="C100" s="3" t="s">
        <v>237</v>
      </c>
      <c r="D100" s="5" t="s">
        <v>24</v>
      </c>
      <c r="E100" s="11"/>
      <c r="F100" s="16"/>
    </row>
    <row r="101" spans="1:6" ht="33.950000000000003">
      <c r="A101" s="34"/>
      <c r="B101" s="2" t="s">
        <v>238</v>
      </c>
      <c r="C101" s="3" t="s">
        <v>239</v>
      </c>
      <c r="D101" s="5" t="s">
        <v>24</v>
      </c>
      <c r="E101" s="11"/>
      <c r="F101" s="16"/>
    </row>
    <row r="102" spans="1:6" ht="68.099999999999994">
      <c r="A102" s="34"/>
      <c r="B102" s="2" t="s">
        <v>240</v>
      </c>
      <c r="C102" s="3" t="s">
        <v>241</v>
      </c>
      <c r="D102" s="5" t="s">
        <v>24</v>
      </c>
      <c r="E102" s="11"/>
      <c r="F102" s="16"/>
    </row>
    <row r="103" spans="1:6" ht="33.950000000000003">
      <c r="A103" s="34"/>
      <c r="B103" s="2" t="s">
        <v>242</v>
      </c>
      <c r="C103" s="3" t="s">
        <v>243</v>
      </c>
      <c r="D103" s="5" t="s">
        <v>24</v>
      </c>
      <c r="E103" s="11"/>
      <c r="F103" s="16"/>
    </row>
    <row r="104" spans="1:6" ht="18.95">
      <c r="A104" s="34"/>
      <c r="B104" s="2" t="s">
        <v>244</v>
      </c>
      <c r="C104" s="3" t="s">
        <v>245</v>
      </c>
      <c r="D104" s="5" t="s">
        <v>54</v>
      </c>
      <c r="E104" s="11" t="s">
        <v>246</v>
      </c>
      <c r="F104" s="16"/>
    </row>
    <row r="105" spans="1:6" ht="46.5">
      <c r="A105" s="34"/>
      <c r="B105" s="2" t="s">
        <v>247</v>
      </c>
      <c r="C105" s="3" t="s">
        <v>248</v>
      </c>
      <c r="D105" s="5" t="s">
        <v>27</v>
      </c>
      <c r="E105" s="11" t="s">
        <v>249</v>
      </c>
      <c r="F105" s="21" t="s">
        <v>250</v>
      </c>
    </row>
    <row r="106" spans="1:6" ht="51">
      <c r="A106" s="34"/>
      <c r="B106" s="2" t="s">
        <v>251</v>
      </c>
      <c r="C106" s="3" t="s">
        <v>252</v>
      </c>
      <c r="D106" s="5" t="s">
        <v>24</v>
      </c>
      <c r="E106" s="11"/>
      <c r="F106" s="16"/>
    </row>
    <row r="107" spans="1:6" ht="51">
      <c r="A107" s="35"/>
      <c r="B107" s="2" t="s">
        <v>253</v>
      </c>
      <c r="C107" s="3" t="s">
        <v>254</v>
      </c>
      <c r="D107" s="5" t="s">
        <v>24</v>
      </c>
      <c r="E107" s="11"/>
      <c r="F107" s="16"/>
    </row>
    <row r="108" spans="1:6" ht="33.950000000000003">
      <c r="A108" s="33" t="s">
        <v>255</v>
      </c>
      <c r="B108" s="2" t="s">
        <v>256</v>
      </c>
      <c r="C108" s="3" t="s">
        <v>257</v>
      </c>
      <c r="D108" s="5" t="s">
        <v>24</v>
      </c>
      <c r="E108" s="11"/>
      <c r="F108" s="16"/>
    </row>
    <row r="109" spans="1:6" ht="51">
      <c r="A109" s="34"/>
      <c r="B109" s="2" t="s">
        <v>258</v>
      </c>
      <c r="C109" s="3" t="s">
        <v>259</v>
      </c>
      <c r="D109" s="5" t="s">
        <v>24</v>
      </c>
      <c r="E109" s="11"/>
      <c r="F109" s="16"/>
    </row>
    <row r="110" spans="1:6" ht="51">
      <c r="A110" s="34"/>
      <c r="B110" s="2" t="s">
        <v>260</v>
      </c>
      <c r="C110" s="3" t="s">
        <v>261</v>
      </c>
      <c r="D110" s="5" t="s">
        <v>24</v>
      </c>
      <c r="E110" s="11"/>
      <c r="F110" s="16"/>
    </row>
    <row r="111" spans="1:6" ht="33.950000000000003">
      <c r="A111" s="34"/>
      <c r="B111" s="2" t="s">
        <v>262</v>
      </c>
      <c r="C111" s="3" t="s">
        <v>263</v>
      </c>
      <c r="D111" s="5" t="s">
        <v>24</v>
      </c>
      <c r="E111" s="11"/>
      <c r="F111" s="16"/>
    </row>
    <row r="112" spans="1:6" ht="33.950000000000003">
      <c r="A112" s="34"/>
      <c r="B112" s="2" t="s">
        <v>264</v>
      </c>
      <c r="C112" s="3" t="s">
        <v>265</v>
      </c>
      <c r="D112" s="5" t="s">
        <v>24</v>
      </c>
      <c r="E112" s="11"/>
      <c r="F112" s="16"/>
    </row>
    <row r="113" spans="1:6" ht="51">
      <c r="A113" s="34"/>
      <c r="B113" s="2" t="s">
        <v>266</v>
      </c>
      <c r="C113" s="3" t="s">
        <v>267</v>
      </c>
      <c r="D113" s="5" t="s">
        <v>24</v>
      </c>
      <c r="E113" s="11"/>
      <c r="F113" s="16"/>
    </row>
    <row r="114" spans="1:6" ht="33.950000000000003">
      <c r="A114" s="34"/>
      <c r="B114" s="2" t="s">
        <v>268</v>
      </c>
      <c r="C114" s="3" t="s">
        <v>269</v>
      </c>
      <c r="D114" s="5" t="s">
        <v>24</v>
      </c>
      <c r="E114" s="11"/>
      <c r="F114" s="16"/>
    </row>
    <row r="115" spans="1:6" ht="33.950000000000003">
      <c r="A115" s="34"/>
      <c r="B115" s="2" t="s">
        <v>270</v>
      </c>
      <c r="C115" s="3" t="s">
        <v>271</v>
      </c>
      <c r="D115" s="5" t="s">
        <v>24</v>
      </c>
      <c r="E115" s="11"/>
      <c r="F115" s="16"/>
    </row>
    <row r="116" spans="1:6" ht="33.950000000000003">
      <c r="A116" s="34"/>
      <c r="B116" s="2" t="s">
        <v>272</v>
      </c>
      <c r="C116" s="3" t="s">
        <v>273</v>
      </c>
      <c r="D116" s="5" t="s">
        <v>24</v>
      </c>
      <c r="E116" s="11"/>
      <c r="F116" s="16"/>
    </row>
    <row r="117" spans="1:6" ht="51">
      <c r="A117" s="34"/>
      <c r="B117" s="2" t="s">
        <v>274</v>
      </c>
      <c r="C117" s="3" t="s">
        <v>275</v>
      </c>
      <c r="D117" s="5" t="s">
        <v>24</v>
      </c>
      <c r="E117" s="11"/>
      <c r="F117" s="16"/>
    </row>
    <row r="118" spans="1:6" ht="51">
      <c r="A118" s="34"/>
      <c r="B118" s="2" t="s">
        <v>276</v>
      </c>
      <c r="C118" s="3" t="s">
        <v>277</v>
      </c>
      <c r="D118" s="5" t="s">
        <v>24</v>
      </c>
      <c r="E118" s="11"/>
      <c r="F118" s="16"/>
    </row>
    <row r="119" spans="1:6" ht="51">
      <c r="A119" s="35"/>
      <c r="B119" s="2" t="s">
        <v>278</v>
      </c>
      <c r="C119" s="3" t="s">
        <v>279</v>
      </c>
      <c r="D119" s="5" t="s">
        <v>24</v>
      </c>
      <c r="E119" s="11"/>
      <c r="F119" s="16"/>
    </row>
    <row r="123" spans="1:6">
      <c r="A123" s="36" t="s">
        <v>280</v>
      </c>
      <c r="B123" s="36"/>
      <c r="C123" s="36"/>
      <c r="D123" s="36"/>
      <c r="E123" s="10" t="s">
        <v>281</v>
      </c>
    </row>
    <row r="124" spans="1:6" ht="33.950000000000003">
      <c r="A124" s="30" t="s">
        <v>282</v>
      </c>
      <c r="B124" s="31"/>
      <c r="C124" s="31"/>
      <c r="D124" s="32"/>
      <c r="E124" s="12" t="s">
        <v>283</v>
      </c>
    </row>
    <row r="125" spans="1:6" ht="147.94999999999999" customHeight="1">
      <c r="A125" s="30" t="s">
        <v>284</v>
      </c>
      <c r="B125" s="31"/>
      <c r="C125" s="31"/>
      <c r="D125" s="32"/>
      <c r="E125" s="12" t="s">
        <v>285</v>
      </c>
    </row>
    <row r="126" spans="1:6" ht="147.94999999999999" customHeight="1">
      <c r="A126" s="30" t="s">
        <v>286</v>
      </c>
      <c r="B126" s="31"/>
      <c r="C126" s="31"/>
      <c r="D126" s="32"/>
      <c r="E126" s="12" t="s">
        <v>285</v>
      </c>
    </row>
  </sheetData>
  <mergeCells count="28">
    <mergeCell ref="A126:D126"/>
    <mergeCell ref="A125:D125"/>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4:D124"/>
    <mergeCell ref="A41:A48"/>
    <mergeCell ref="A123:D123"/>
    <mergeCell ref="A97:A107"/>
    <mergeCell ref="A108:A119"/>
    <mergeCell ref="A49:A50"/>
    <mergeCell ref="A51:A55"/>
    <mergeCell ref="A56:A65"/>
    <mergeCell ref="A66:A69"/>
    <mergeCell ref="A70:A83"/>
    <mergeCell ref="A84:A96"/>
  </mergeCells>
  <conditionalFormatting sqref="D14:E14 D15:D22 D74:D75 D75:E79 D80">
    <cfRule type="expression" dxfId="19" priority="21">
      <formula>$D14="Non testé"</formula>
    </cfRule>
  </conditionalFormatting>
  <conditionalFormatting sqref="D14:E14 D15:D22 D16:E69 D74:D75 D75:E79 D80">
    <cfRule type="expression" dxfId="18" priority="22">
      <formula>$D14="Dérogé"</formula>
    </cfRule>
    <cfRule type="expression" dxfId="17" priority="23">
      <formula>$D14="Conforme"</formula>
    </cfRule>
    <cfRule type="expression" dxfId="16" priority="24">
      <formula>$D14="Non conforme"</formula>
    </cfRule>
  </conditionalFormatting>
  <conditionalFormatting sqref="D16:E73">
    <cfRule type="expression" dxfId="15" priority="5">
      <formula>$D16="Non testé"</formula>
    </cfRule>
  </conditionalFormatting>
  <conditionalFormatting sqref="D70:E73">
    <cfRule type="expression" dxfId="14" priority="6">
      <formula>$D70="Dérogé"</formula>
    </cfRule>
    <cfRule type="expression" dxfId="13" priority="7">
      <formula>$D70="Conforme"</formula>
    </cfRule>
    <cfRule type="expression" dxfId="12" priority="8">
      <formula>$D70="Non conforme"</formula>
    </cfRule>
  </conditionalFormatting>
  <conditionalFormatting sqref="D81:E119">
    <cfRule type="expression" dxfId="11" priority="1">
      <formula>$D81="Non testé"</formula>
    </cfRule>
    <cfRule type="expression" dxfId="10" priority="2">
      <formula>$D81="Dérogé"</formula>
    </cfRule>
    <cfRule type="expression" dxfId="9" priority="3">
      <formula>$D81="Conforme"</formula>
    </cfRule>
    <cfRule type="expression" dxfId="8" priority="4">
      <formula>$D81="Non conforme"</formula>
    </cfRule>
  </conditionalFormatting>
  <conditionalFormatting sqref="E15">
    <cfRule type="expression" dxfId="7" priority="17">
      <formula>$D15="Non testé"</formula>
    </cfRule>
    <cfRule type="expression" dxfId="6" priority="18">
      <formula>$D15="Dérogé"</formula>
    </cfRule>
    <cfRule type="expression" dxfId="5" priority="19">
      <formula>$D15="Conforme"</formula>
    </cfRule>
    <cfRule type="expression" dxfId="4" priority="20">
      <formula>$D15="Non conforme"</formula>
    </cfRule>
  </conditionalFormatting>
  <conditionalFormatting sqref="E74">
    <cfRule type="expression" dxfId="3" priority="13">
      <formula>$D74="Non testé"</formula>
    </cfRule>
    <cfRule type="expression" dxfId="2" priority="14">
      <formula>$D74="Dérogé"</formula>
    </cfRule>
    <cfRule type="expression" dxfId="1" priority="15">
      <formula>$D74="Conforme"</formula>
    </cfRule>
    <cfRule type="expression" dxfId="0" priority="16">
      <formula>$D74="Non conforme"</formula>
    </cfRule>
  </conditionalFormatting>
  <dataValidations count="2">
    <dataValidation type="list" allowBlank="1" showInputMessage="1" showErrorMessage="1" sqref="D14:D119" xr:uid="{00000000-0002-0000-0200-000000000000}">
      <formula1>"Conforme,Non conforme,Non applicable,Dérogé,Non testé"</formula1>
    </dataValidation>
    <dataValidation allowBlank="1" showInputMessage="1" showErrorMessage="1" prompt="Format JJ/MM/AAAA" sqref="D3" xr:uid="{DD65A707-9560-C348-A8A9-AB9CB664A441}"/>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
  <dcterms:created xsi:type="dcterms:W3CDTF">2025-03-05T16:22:31Z</dcterms:created>
  <dcterms:modified xsi:type="dcterms:W3CDTF">2025-07-24T09:21:31Z</dcterms:modified>
  <cp:category/>
  <cp:contentStatus/>
</cp:coreProperties>
</file>
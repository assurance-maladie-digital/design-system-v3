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xr:revisionPtr revIDLastSave="0" documentId="8_{94F6031E-0449-49CF-9CA0-E1A5EB035E2D}" xr6:coauthVersionLast="47" xr6:coauthVersionMax="47" xr10:uidLastSave="{00000000-0000-0000-0000-000000000000}"/>
  <bookViews>
    <workbookView xWindow="0" yWindow="0" windowWidth="16384" windowHeight="8192" tabRatio="500" xr2:uid="{00000000-000D-0000-FFFF-FFFF00000000}"/>
  </bookViews>
  <sheets>
    <sheet name="NirField"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 i="1" l="1"/>
  <c r="D8" i="1"/>
  <c r="D7" i="1"/>
  <c r="D6" i="1"/>
  <c r="D5" i="1"/>
  <c r="D10" i="1" l="1"/>
  <c r="D11" i="1" s="1"/>
</calcChain>
</file>

<file path=xl/sharedStrings.xml><?xml version="1.0" encoding="utf-8"?>
<sst xmlns="http://schemas.openxmlformats.org/spreadsheetml/2006/main" count="391" uniqueCount="288">
  <si>
    <t>Composant : NirField</t>
  </si>
  <si>
    <t>Audit</t>
  </si>
  <si>
    <t>Audit V1</t>
  </si>
  <si>
    <t>Correction post audit V1 - (voir - https://github.com/assurance-maladie-digital/design-system-v3/pull/1131)</t>
  </si>
  <si>
    <t>Date</t>
  </si>
  <si>
    <t>Version</t>
  </si>
  <si>
    <t>1.0.5</t>
  </si>
  <si>
    <t>1.0.9</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</si>
  <si>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</si>
  <si>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</si>
  <si>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</si>
  <si>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</si>
  <si>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</si>
  <si>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</si>
  <si>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</si>
  <si>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</si>
  <si>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</si>
  <si>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</si>
  <si>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</si>
  <si>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</si>
  <si>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</si>
  <si>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</si>
  <si>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</si>
  <si>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</si>
  <si>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</si>
  <si>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</si>
  <si>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</si>
  <si>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Conforme</t>
  </si>
  <si>
    <t>Les icônes de décoration possèdent un aria-hidden="true" sans le "role"="img".</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</si>
  <si>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</si>
  <si>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</si>
  <si>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</si>
  <si>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</si>
  <si>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</si>
  <si>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</si>
  <si>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</si>
  <si>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</si>
  <si>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</si>
  <si>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</si>
  <si>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</si>
  <si>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</si>
  <si>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</si>
  <si>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</si>
  <si>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</si>
  <si>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</si>
  <si>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</si>
  <si>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</si>
  <si>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</si>
  <si>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</si>
  <si>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</si>
  <si>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</si>
  <si>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</si>
  <si>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</si>
  <si>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Les couleurs concernant les champs SyTextField sont concernés par l'audit dédié et ne seront donc pas pris en compte dans cet audit-ci.
Thème par défaut :
  - Titre fieldset (16px normal) =&gt; texte gris sur fond blanc =&gt; 5,7 (conforme)</t>
  </si>
  <si>
    <t>3.3</t>
  </si>
  <si>
    <t>Dans chaque page web, les couleurs utilisées dans les composants d’interface ou les éléments graphiques porteurs d’informations sont-elles suffisamment contrastées (hors cas particuliers) ?</t>
  </si>
  <si>
    <t>Non conforme</t>
  </si>
  <si>
    <t>Les couleurs concernant les champs SyTextField sont concernés par l'audit dédié et ne seront donc pas pris en compte dans cet audit-ci.
Bordure fieldset =&gt; bordure grise sur fond blanc =&gt; 2 (non conforme =&gt; ratio minimum 3).</t>
  </si>
  <si>
    <t>Changement de la couleur</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</si>
  <si>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</si>
  <si>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</si>
  <si>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</si>
  <si>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</si>
  <si>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</si>
  <si>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</si>
  <si>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</si>
  <si>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</si>
  <si>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</si>
  <si>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</si>
  <si>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</si>
  <si>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</si>
  <si>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</si>
  <si>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</si>
  <si>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</si>
  <si>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</si>
  <si>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</si>
  <si>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</si>
  <si>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</si>
  <si>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</si>
  <si>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</si>
  <si>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</si>
  <si>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</si>
  <si>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</si>
  <si>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</si>
  <si>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</si>
  <si>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</si>
  <si>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</si>
  <si>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</si>
  <si>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</si>
  <si>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</si>
  <si>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</si>
  <si>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</si>
  <si>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</si>
  <si>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</si>
  <si>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</si>
  <si>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</si>
  <si>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</si>
  <si>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</si>
  <si>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</si>
  <si>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</si>
  <si>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</si>
  <si>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</si>
  <si>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</si>
  <si>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</si>
  <si>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</si>
  <si>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</si>
  <si>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</si>
  <si>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</si>
  <si>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</si>
  <si>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</si>
  <si>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</si>
  <si>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Voir les critères 11.10 et 11.11.</t>
  </si>
  <si>
    <t>7.2</t>
  </si>
  <si>
    <t>Pour chaque script ayant une alternative, cette alternative est-elle pertinente ?</t>
  </si>
  <si>
    <t>7.3</t>
  </si>
  <si>
    <t>Chaque script est-il contrôlable par le clavier et par tout dispositif de pointage (hors cas particuliers) ?</t>
  </si>
  <si>
    <t xml:space="preserve"> Essai touche tab focus ok sur l'input</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</si>
  <si>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</si>
  <si>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</si>
  <si>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</si>
  <si>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</si>
  <si>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</si>
  <si>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</si>
  <si>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</si>
  <si>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</si>
  <si>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</si>
  <si>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Le validateur HTML W3C remonte ces erreurs :
  - CSS: --: Parse Error. (lorsqu'il y a le fieldset)
  - Attribute has-warning not allowed on element input at this point. (potentiellement en double si 2 inputs)
  - Attribute has-success not allowed on element input at this point. (potentiellement en double si 2 inputs)
  - Attribute has-error not allowed on element input at this point. (potentiellement en double si 2 inputs)</t>
  </si>
  <si>
    <t>les variables css font partie de la spécification w3c depuis 2022, https://www.w3.org/TR/css-variables-1/, retrais des attributs invalides</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</si>
  <si>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</si>
  <si>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</si>
  <si>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</si>
  <si>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</si>
  <si>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</si>
  <si>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</si>
  <si>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</si>
  <si>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</si>
  <si>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</si>
  <si>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</si>
  <si>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</si>
  <si>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</si>
  <si>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</si>
  <si>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</si>
  <si>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</si>
  <si>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</si>
  <si>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</si>
  <si>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</si>
  <si>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</si>
  <si>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</si>
  <si>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</si>
  <si>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</si>
  <si>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</si>
  <si>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</si>
  <si>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</si>
  <si>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</si>
  <si>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</si>
  <si>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</si>
  <si>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</si>
  <si>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</si>
  <si>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</si>
  <si>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contenu visible porteur d'information reste présent lorsque les feuilles de styles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</si>
  <si>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</si>
  <si>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</si>
  <si>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</si>
  <si>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</si>
  <si>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</si>
  <si>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Le texte reste lisible que ce soit en zoom 200% écran ou texte.
En zoom texte 200%, le libellé "Numéro de sécurité sociale" est trop grand et est donc tronqué avec des points de suspensions. En revanche, au focus, le texte est lisible dans son intégralité, ce qui valide ce critère.</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</si>
  <si>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</si>
  <si>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</si>
  <si>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</si>
  <si>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</si>
  <si>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</si>
  <si>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</si>
  <si>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Un focus est appliqué sur l'input changeant son style. Celui est considéré comme  visible car son contraste est suffisant (voir critère 3.3 du SyTextField).</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</si>
  <si>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</si>
  <si>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</si>
  <si>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</si>
  <si>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</si>
  <si>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</si>
  <si>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</si>
  <si>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</si>
  <si>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</si>
  <si>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Aucun troncage de texte. Le composant n'oblige pas à avoir recours au défilement afin de permettre la visualisuation complète du contenu. En revanche attention, il y a des anomalies graphiques en 320px qui, bien que n'impacte pas le critère d'accessibilité, pourrait poser problème en cas de customisation du composant.</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</si>
  <si>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</si>
  <si>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</si>
  <si>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</si>
  <si>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</si>
  <si>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</si>
  <si>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</si>
  <si>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</si>
  <si>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</si>
  <si>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</si>
  <si>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</si>
  <si>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Balise "label" ayant un attribut "for" associé à l'input (id)</t>
  </si>
  <si>
    <t>11.2</t>
  </si>
  <si>
    <t>Chaque étiquette associée à un champ de formulaire est-elle pertinente (hors cas particuliers) ?</t>
  </si>
  <si>
    <t>Les étiquettes des champs de formulaire sont pertinents : "Numéro de sécurité sociale" et "Clé".</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</si>
  <si>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</si>
  <si>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</si>
  <si>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</si>
  <si>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</si>
  <si>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L'étiquette et le champ associé sont bien accolés. L'étiquette est placé au dessus lorsque le focus est pris sinon au centre. Cela fait parti des cas particuliers des critères 11.4.2 et 11.4.3 : "Dans le cas où les champs seraient utilisés dans un contexte où il pourrait être légitime, du point de vue de l’expérience utilisateur, de placer les étiquettes de manière différente à celle requise dans les tests 11.4.2 et 11.4.3."</t>
  </si>
  <si>
    <t>11.5</t>
  </si>
  <si>
    <t>Dans chaque formulaire, les champs de même nature sont-ils regroupés, si nécessaire ?</t>
  </si>
  <si>
    <t>Dans le cas des deux champs, nous avons bien un fieldset.</t>
  </si>
  <si>
    <t>11.6</t>
  </si>
  <si>
    <t>Dans chaque formulaire, chaque regroupement de champs de même nature a-t-il une légende ?</t>
  </si>
  <si>
    <t>Le fieldset possède bien une legende.</t>
  </si>
  <si>
    <t>11.7</t>
  </si>
  <si>
    <t>Dans chaque formulaire, chaque légende associée à un regroupement de champs de même nature est-elle pertinente ?</t>
  </si>
  <si>
    <t>Le titre par défaut est "NirField" et n'est pas suffisamment explicite. Par ailleurs, en mode fieldset, il convient de distinguer le numéro de sécurité sociale dans son ensemble (les 15 chiffres avec la clé) du premier champ (les 13 chiffres, donc sans la clé).</t>
  </si>
  <si>
    <t>utilisation d’un label plus adapté</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</si>
  <si>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</si>
  <si>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</si>
  <si>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</si>
  <si>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</si>
  <si>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</si>
  <si>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</si>
  <si>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r>
      <rPr>
        <b/>
        <u/>
        <sz val="12"/>
        <color rgb="FF000000"/>
        <rFont val="Aptos Narrow (Corps)"/>
      </rPr>
      <t xml:space="preserve">Points positifs :
</t>
    </r>
    <r>
      <rPr>
        <sz val="12"/>
        <color rgb="FF000000"/>
        <rFont val="Aptos Narrow"/>
      </rPr>
      <t xml:space="preserve">  - que ce soit avec ou sans astérisque, l'input possède bien l'attribut aria-required. Il sera bien de la responsabiilité du développeur d'indiquer visuellement que le champ est obligatoire dans le cas où il n'utilise pas l'astérisque.
  - En cas d'erreur, les champs possèdent un aria-invalid="true" et un message d'erreur apparaît, visible dans le passage de texte.
</t>
    </r>
    <r>
      <rPr>
        <sz val="12"/>
        <color theme="1"/>
        <rFont val="Aptos Narrow"/>
      </rPr>
      <t xml:space="preserve">
</t>
    </r>
    <r>
      <rPr>
        <b/>
        <u/>
        <sz val="12"/>
        <color rgb="FF000000"/>
        <rFont val="Aptos Narrow (Corps)"/>
      </rPr>
      <t xml:space="preserve">Points négatifs :
</t>
    </r>
    <r>
      <rPr>
        <sz val="12"/>
        <color rgb="FF000000"/>
        <rFont val="Aptos Narrow"/>
      </rPr>
      <t xml:space="preserve">  - Lors qu'une erreur sur le champ "Clé" apparaît, il est rattaché aux erreurs du champ "Numéro de sécurité sociale" au lieu de "Clé". Il faut avoir un span distinct dédié au champ "Clé" et lier son id (avec son message d'erreur) via un aria-describedby (comme ce qui est fait pour le premier champ).</t>
    </r>
  </si>
  <si>
    <t>utilisation de deux élément pour l’affichage des erreurs</t>
  </si>
  <si>
    <t>11.11</t>
  </si>
  <si>
    <t>Dans chaque formulaire, le contrôle de saisie est-il accompagné, si nécessaire, de suggestions facilitant la correction des erreurs de saisie ?</t>
  </si>
  <si>
    <r>
      <rPr>
        <b/>
        <u/>
        <sz val="12"/>
        <color rgb="FF000000"/>
        <rFont val="Aptos Narrow (Corps)"/>
      </rPr>
      <t xml:space="preserve">BUG : </t>
    </r>
    <r>
      <rPr>
        <sz val="12"/>
        <color rgb="FF000000"/>
        <rFont val="Aptos Narrow"/>
      </rPr>
      <t xml:space="preserve">Lorsque je renseigne le premier champ "Numéro de sécurité sociale" sur 13 chiffres, celui-ci passe au vert. Mais lorsque j'ajoute la clé dans le second champ, les deux champs passent en erreur.
</t>
    </r>
    <r>
      <rPr>
        <sz val="12"/>
        <color theme="1"/>
        <rFont val="Aptos Narrow"/>
      </rPr>
      <t xml:space="preserve">
</t>
    </r>
    <r>
      <rPr>
        <sz val="12"/>
        <color rgb="FF000000"/>
        <rFont val="Aptos Narrow"/>
      </rPr>
      <t xml:space="preserve">1- Nous sommes dans le cas d'un champ qui nécessite un format spécifique (ex: 1er chiffre à 1/2, etc.). Il est donc nécessaire de spécifier ces règles. Si un utilisateur respecte l'indication des 13 chiffres mais qu'il tombe en erreur alors que c'est la seule aide à la saisie qu'il a, c'est que cette aide à la saisie n'est pas suffisamment explicite. On pourraît notamment confondre le numéro de sécurité sociale avec/sans clé.
2- Lorsqu'on a un message d'erreur, on n'a aucun exemple de suggestion autre que celui de l'aide à la saisie.
</t>
    </r>
    <r>
      <rPr>
        <sz val="12"/>
        <color theme="1"/>
        <rFont val="Aptos Narrow"/>
      </rPr>
      <t xml:space="preserve">
</t>
    </r>
    <r>
      <rPr>
        <sz val="12"/>
        <color rgb="FF000000"/>
        <rFont val="Aptos Narrow"/>
      </rPr>
      <t xml:space="preserve">Exemples :
- Aide à la saisie : 
    - Numéro de sécurité sociale : "Numéro sur 13 chiffres - A BB CC DD EEE FFF où : A vaut 1 (homme) ou 2 (femme), BB année de naissance, CC mois de naissance, DD département de naissance, EEE numéro Insee, FFF ordre d'enregistrement"
    - Clé : "Numéro sur 2 chiffres"
- Message d'erreur :
  - Numéro de sécurité sociale : "Le numéro doit comportement 13 chiffres et répondre au format A BB CC DD EEE FFF où : A vaut 1 (homme) ou 2 (femme), BB année de naissance, CC mois de naissance, DD département de naissance, EEE numéro Insee, FFF ordre d'enregistrement (exemple : 1 85 05 78 006 084)"
</t>
    </r>
    <r>
      <rPr>
        <sz val="12"/>
        <color theme="1"/>
        <rFont val="Aptos Narrow"/>
      </rPr>
      <t xml:space="preserve">
</t>
    </r>
    <r>
      <rPr>
        <sz val="12"/>
        <color rgb="FF000000"/>
        <rFont val="Aptos Narrow"/>
      </rPr>
      <t>Il est possible, si on ne souhaite rentrer dans le détail du format, de spécifier cette aide par un disclosure, une modale ou d'indiquer simplement une phrase "Les 13 premiers numéros inscrits sur votre carte vitale" et "Les 2 derniers chiffres inscrits sur votre carte vitale". S'agissant d'un composant du Design System, il paraît essentiel d'avoir une aide à la saisie et un message d'erreur explicites mais il faudrait laisser la possibilité au contributeur de pouvoir modifier ces messages.</t>
    </r>
  </si>
  <si>
    <t>séparation du traitement des erreurs pour les deux champs. Pas d’affichages des règles de contriction du NIR car elles sont complexes et comportent des exeptions (étrangés, né en Algérie…). Affichage des chiffres corespondants sur la carte vitale.</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</si>
  <si>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</si>
  <si>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</si>
  <si>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</si>
  <si>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</si>
  <si>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</si>
  <si>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</si>
  <si>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</si>
  <si>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</si>
  <si>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</si>
  <si>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</si>
  <si>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</si>
  <si>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</si>
  <si>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</si>
  <si>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</si>
  <si>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</si>
  <si>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</si>
  <si>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</si>
  <si>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</si>
  <si>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</si>
  <si>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</si>
  <si>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</si>
  <si>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</si>
  <si>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</si>
  <si>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pas de piege avec la touche tab tout les éléments sont atteignables</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</si>
  <si>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</si>
  <si>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</si>
  <si>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</si>
  <si>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</si>
  <si>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</si>
  <si>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</si>
  <si>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</si>
  <si>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</si>
  <si>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</si>
  <si>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</si>
  <si>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</si>
  <si>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</si>
  <si>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</si>
  <si>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</si>
  <si>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</si>
  <si>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</si>
  <si>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</si>
  <si>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</si>
  <si>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</si>
  <si>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</si>
  <si>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</si>
  <si>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</si>
  <si>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</si>
  <si>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</si>
  <si>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</si>
  <si>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</si>
  <si>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</si>
  <si>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</si>
  <si>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</si>
  <si>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</si>
  <si>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</si>
  <si>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Les champs de formulaires doivent avoir une étiquette. Techniquement, il est communément utilisé la balise "label" avec les attributs "for" et "id".
Celle-ci doit être pertinente et accolée au champ associé.</t>
  </si>
  <si>
    <t xml:space="preserve">- https://www.accede-web.com/notices/html-et-css/formulaires/utiliser-la-balise-label-ainsi-que-les-attributs-for-et-id-pour-etiqueter-les-champs-avec-intitule-visible/
- 
</t>
  </si>
  <si>
    <t>Selon la finalité du champ, le remplissage automatique est possible (attribut "autocomplete").</t>
  </si>
  <si>
    <t>- https://www.accede-web.com/notices/html-et-css/formulaires/utiliser-lattribut-autocomplete-pour-faciliter-le-remplissage-automatique-des-champs/</t>
  </si>
  <si>
    <t>En cas d'aide à la saisie, l'inscription est visible  dans un message ou présente dans l'étiquette. Il doit être rattaché au libellé ou situé dans le passage de texte associé au champ.</t>
  </si>
  <si>
    <t>- https://www.accede-web.com/notices/html-et-css/formulaires/integrer-les-aides-a-la-saisie-directement-dans-les-balises-label/</t>
  </si>
  <si>
    <t>Les champs obligatoires possèdent l'une et/ou l'autre condition :
- un intitulé visible permettant de l'identifier comme tel
- un attribut "required" ou 'aria-required="true"'.
Il doit être rattaché au libellé ou situé dans le passage de texte associé au champ.</t>
  </si>
  <si>
    <t>- https://www.accede-web.com/notices/html-et-css/formulaires/integrer-required-ou-aria-requiredtrue-dans-les-champs-obligatoires/</t>
  </si>
  <si>
    <t>En cas d'erreur,  le champ possède l'une et/ou l'autre condition :
- un message visible permet de l'identifier comme tel
- un attribut 'aria-invalid="true"'.
Il doit être rattaché au libellé ou situé dans le passage de texte associé au champ.
Par ailleurs, s'il s'agit d'une erreur de type ou format, l'information est retranscrite dans le message d'erreur avec des exemples de valeurs attendues autre que celle de l'aise à la saisie</t>
  </si>
  <si>
    <t>- https://www.accede-web.com/notices/html-et-css/formulaires/integrer-les-messages-derreur-et-les-suggestions-de-correction-directement-dans-les-balises-label/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</si>
</sst>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2">
    <font>
      <sz val="12"/>
      <color theme="1"/>
      <name val="Aptos Narrow"/>
      <family val="2"/>
    </font>
    <font>
      <sz val="12"/>
      <color theme="1"/>
      <name val="Aptos Narrow"/>
    </font>
    <font>
      <b/>
      <sz val="12"/>
      <color theme="1"/>
      <name val="Aptos Narrow"/>
    </font>
    <font>
      <b/>
      <sz val="14"/>
      <color theme="1"/>
      <name val="Aptos Narrow"/>
    </font>
    <font>
      <sz val="14"/>
      <color theme="1"/>
      <name val="Aptos Narrow"/>
    </font>
    <font>
      <b/>
      <sz val="14"/>
      <color theme="0"/>
      <name val="Aptos Narrow"/>
      <family val="2"/>
    </font>
    <font>
      <sz val="14"/>
      <color theme="1"/>
      <name val="Aptos Narrow"/>
      <family val="2"/>
    </font>
    <font>
      <b/>
      <u/>
      <sz val="12"/>
      <color rgb="FF000000"/>
      <name val="Aptos Narrow (Corps)"/>
    </font>
    <font>
      <sz val="12"/>
      <color rgb="FF000000"/>
      <name val="Aptos Narrow"/>
    </font>
    <font>
      <sz val="12"/>
      <color theme="0"/>
      <name val="Aptos Narrow"/>
    </font>
    <font>
      <sz val="12"/>
      <color theme="1"/>
      <name val="Aptos Narrow"/>
      <family val="2"/>
    </font>
    <font>
      <sz val="12"/>
      <color rgb="FF275417"/>
      <name val="Aptos Narrow"/>
    </font>
  </fonts>
  <fills count="5">
    <fill>
      <patternFill patternType="none"/>
    </fill>
    <fill>
      <patternFill patternType="gray125"/>
    </fill>
    <fill>
      <patternFill patternType="solid">
        <fgColor rgb="FF000091"/>
        <bgColor rgb="FF000080"/>
      </patternFill>
    </fill>
    <fill>
      <patternFill patternType="solid">
        <fgColor theme="0"/>
        <bgColor rgb="FFFFFFCC"/>
      </patternFill>
    </fill>
    <fill>
      <patternFill patternType="solid">
        <fgColor rgb="FFC6EFCE"/>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s>
  <cellStyleXfs count="2">
    <xf numFmtId="0" fontId="0" fillId="0" borderId="0"/>
    <xf numFmtId="9" fontId="10" fillId="0" borderId="0" applyBorder="0" applyProtection="0"/>
  </cellStyleXfs>
  <cellXfs count="32">
    <xf numFmtId="0" fontId="0" fillId="0" borderId="0" xfId="0"/>
    <xf numFmtId="0" fontId="1" fillId="0" borderId="0" xfId="0" applyFont="1"/>
    <xf numFmtId="0" fontId="5" fillId="2" borderId="1" xfId="0" applyFont="1" applyFill="1" applyBorder="1"/>
    <xf numFmtId="0" fontId="5" fillId="2" borderId="2" xfId="0" applyFont="1" applyFill="1" applyBorder="1"/>
    <xf numFmtId="0" fontId="5" fillId="2" borderId="3" xfId="0" applyFont="1" applyFill="1" applyBorder="1"/>
    <xf numFmtId="0" fontId="1" fillId="0" borderId="4" xfId="0" applyFont="1" applyBorder="1" applyAlignment="1">
      <alignment horizontal="left" vertical="center" wrapText="1"/>
    </xf>
    <xf numFmtId="0" fontId="6" fillId="3" borderId="5" xfId="0" applyFont="1" applyFill="1" applyBorder="1" applyAlignment="1">
      <alignment horizontal="left" vertical="top"/>
    </xf>
    <xf numFmtId="0" fontId="1" fillId="0" borderId="1" xfId="0" applyFont="1" applyBorder="1" applyAlignment="1">
      <alignment horizontal="left" vertical="top" wrapText="1"/>
    </xf>
    <xf numFmtId="0" fontId="1" fillId="0" borderId="1" xfId="0" applyFont="1" applyBorder="1"/>
    <xf numFmtId="0" fontId="1" fillId="0" borderId="5" xfId="0" applyFont="1" applyBorder="1" applyAlignment="1">
      <alignment horizontal="left" vertical="top" wrapText="1"/>
    </xf>
    <xf numFmtId="0" fontId="1" fillId="0" borderId="5" xfId="0" applyFont="1" applyBorder="1" applyAlignment="1">
      <alignment horizontal="left" vertical="top"/>
    </xf>
    <xf numFmtId="0" fontId="7" fillId="0" borderId="1" xfId="0" applyFont="1" applyBorder="1" applyAlignment="1">
      <alignment horizontal="left" vertical="top" wrapText="1"/>
    </xf>
    <xf numFmtId="0" fontId="9" fillId="2" borderId="1" xfId="0" applyFont="1" applyFill="1" applyBorder="1"/>
    <xf numFmtId="0" fontId="11" fillId="4" borderId="1" xfId="0" applyFont="1" applyFill="1" applyBorder="1" applyAlignment="1">
      <alignment horizontal="left" vertical="top" wrapText="1"/>
    </xf>
    <xf numFmtId="0" fontId="11" fillId="4" borderId="1" xfId="0" applyFont="1" applyFill="1" applyBorder="1" applyAlignment="1">
      <alignment vertical="top" wrapText="1"/>
    </xf>
    <xf numFmtId="0" fontId="3" fillId="0" borderId="1" xfId="0" applyFont="1" applyBorder="1" applyAlignment="1">
      <alignment horizontal="right"/>
    </xf>
    <xf numFmtId="164" fontId="4" fillId="0" borderId="1" xfId="0" applyNumberFormat="1" applyFont="1" applyBorder="1"/>
    <xf numFmtId="0" fontId="4" fillId="0" borderId="1" xfId="0" applyFont="1" applyBorder="1" applyAlignment="1">
      <alignment horizontal="right" vertical="top"/>
    </xf>
    <xf numFmtId="0" fontId="4" fillId="0" borderId="1" xfId="0" applyFont="1" applyBorder="1" applyAlignment="1">
      <alignment horizontal="right"/>
    </xf>
    <xf numFmtId="0" fontId="4" fillId="0" borderId="1" xfId="0" applyFont="1" applyBorder="1"/>
    <xf numFmtId="9" fontId="3" fillId="0" borderId="1" xfId="1" applyFont="1" applyBorder="1" applyAlignment="1" applyProtection="1"/>
    <xf numFmtId="9" fontId="3" fillId="0" borderId="1" xfId="0" applyNumberFormat="1" applyFont="1" applyBorder="1"/>
    <xf numFmtId="0" fontId="1" fillId="0" borderId="0" xfId="0" applyFont="1" applyAlignment="1">
      <alignment horizontal="center" vertical="center" wrapText="1"/>
    </xf>
    <xf numFmtId="0" fontId="2" fillId="0" borderId="4" xfId="0" applyFont="1" applyBorder="1" applyAlignment="1">
      <alignment horizontal="center" vertical="center" wrapText="1"/>
    </xf>
    <xf numFmtId="0" fontId="1" fillId="0" borderId="1" xfId="0" applyFont="1" applyBorder="1" applyAlignment="1">
      <alignment horizontal="left" vertical="top" wrapText="1"/>
    </xf>
    <xf numFmtId="0" fontId="2" fillId="2" borderId="1" xfId="0" applyFont="1" applyFill="1" applyBorder="1" applyAlignment="1">
      <alignment horizontal="center" vertical="center" textRotation="90" wrapText="1"/>
    </xf>
    <xf numFmtId="0" fontId="9" fillId="2" borderId="1" xfId="0" applyFont="1" applyFill="1" applyBorder="1" applyAlignment="1">
      <alignment horizontal="left"/>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2" fillId="2" borderId="0"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right" wrapText="1"/>
    </xf>
  </cellXfs>
  <cellStyles count="2">
    <cellStyle name="Normal" xfId="0" builtinId="0"/>
    <cellStyle name="Pourcentage" xfId="1" builtinId="5"/>
  </cellStyles>
  <dxfs count="25">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78206E"/>
        <name val="Aptos Narrow"/>
        <family val="2"/>
      </font>
      <fill>
        <patternFill>
          <bgColor theme="8" tint="0.79989013336588644"/>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9C5700"/>
        <name val="Aptos Narrow"/>
        <family val="2"/>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91"/>
      <rgbColor rgb="FF808000"/>
      <rgbColor rgb="FF800080"/>
      <rgbColor rgb="FF008080"/>
      <rgbColor rgb="FFC0C0C0"/>
      <rgbColor rgb="FF808080"/>
      <rgbColor rgb="FF9999FF"/>
      <rgbColor rgb="FF78206E"/>
      <rgbColor rgb="FFFFFFCC"/>
      <rgbColor rgb="FFCCFFFF"/>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mruColors>
      <color rgb="FF275417"/>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3.org/TR/css-variables-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8"/>
  <sheetViews>
    <sheetView tabSelected="1" zoomScale="110" zoomScaleNormal="110" workbookViewId="0">
      <selection activeCell="E12" sqref="E12"/>
    </sheetView>
  </sheetViews>
  <sheetFormatPr defaultColWidth="10.875" defaultRowHeight="15.75"/>
  <cols>
    <col min="1" max="1" width="15" style="1" customWidth="1"/>
    <col min="2" max="2" width="10.375" style="1" customWidth="1"/>
    <col min="3" max="3" width="59.875" style="1" customWidth="1"/>
    <col min="4" max="4" width="15.125" style="1" customWidth="1"/>
    <col min="5" max="5" width="83.125" style="1" customWidth="1"/>
    <col min="6" max="6" width="17.125" style="1" customWidth="1"/>
    <col min="7" max="16384" width="10.875" style="1"/>
  </cols>
  <sheetData>
    <row r="1" spans="1:6" ht="31.5" customHeight="1">
      <c r="A1" s="29" t="s">
        <v>0</v>
      </c>
      <c r="B1" s="29"/>
      <c r="C1" s="29"/>
      <c r="D1" s="29"/>
    </row>
    <row r="2" spans="1:6" ht="20.45" customHeight="1">
      <c r="A2" s="30" t="s">
        <v>1</v>
      </c>
      <c r="B2" s="30"/>
      <c r="C2" s="30"/>
      <c r="D2" s="15" t="s">
        <v>2</v>
      </c>
      <c r="E2" s="31" t="s">
        <v>3</v>
      </c>
    </row>
    <row r="3" spans="1:6" ht="20.45" customHeight="1">
      <c r="A3" s="28" t="s">
        <v>4</v>
      </c>
      <c r="B3" s="28"/>
      <c r="C3" s="28"/>
      <c r="D3" s="16">
        <v>45915</v>
      </c>
      <c r="E3" s="16">
        <v>45919</v>
      </c>
    </row>
    <row r="4" spans="1:6" ht="20.45" customHeight="1">
      <c r="A4" s="28" t="s">
        <v>5</v>
      </c>
      <c r="B4" s="28"/>
      <c r="C4" s="28"/>
      <c r="D4" s="17" t="s">
        <v>6</v>
      </c>
      <c r="E4" s="18" t="s">
        <v>7</v>
      </c>
    </row>
    <row r="5" spans="1:6" ht="15.75" customHeight="1">
      <c r="A5" s="28" t="s">
        <v>8</v>
      </c>
      <c r="B5" s="28"/>
      <c r="C5" s="28"/>
      <c r="D5" s="19">
        <f>COUNTIF($D$14:$D$119,"Conforme")</f>
        <v>16</v>
      </c>
      <c r="E5" s="19">
        <v>22</v>
      </c>
    </row>
    <row r="6" spans="1:6" ht="20.45" customHeight="1">
      <c r="A6" s="28" t="s">
        <v>9</v>
      </c>
      <c r="B6" s="28"/>
      <c r="C6" s="28"/>
      <c r="D6" s="19">
        <f>COUNTIF($D$14:$D$119,"Non conforme")</f>
        <v>6</v>
      </c>
      <c r="E6" s="19">
        <v>0</v>
      </c>
    </row>
    <row r="7" spans="1:6" ht="20.45" customHeight="1">
      <c r="A7" s="28" t="s">
        <v>10</v>
      </c>
      <c r="B7" s="28"/>
      <c r="C7" s="28"/>
      <c r="D7" s="19">
        <f>COUNTIF($D$14:$D$119,"Non applicable")</f>
        <v>84</v>
      </c>
      <c r="E7" s="19">
        <v>84</v>
      </c>
    </row>
    <row r="8" spans="1:6" ht="20.45" customHeight="1">
      <c r="A8" s="28" t="s">
        <v>11</v>
      </c>
      <c r="B8" s="28"/>
      <c r="C8" s="28"/>
      <c r="D8" s="19">
        <f>COUNTIF($D$14:$D$119,"Dérogé")</f>
        <v>0</v>
      </c>
      <c r="E8" s="19">
        <v>0</v>
      </c>
    </row>
    <row r="9" spans="1:6" ht="20.45" customHeight="1">
      <c r="A9" s="28" t="s">
        <v>12</v>
      </c>
      <c r="B9" s="28"/>
      <c r="C9" s="28"/>
      <c r="D9" s="19">
        <f>COUNTIF($D$14:$D$119,"Non testé")</f>
        <v>0</v>
      </c>
      <c r="E9" s="19">
        <v>0</v>
      </c>
    </row>
    <row r="10" spans="1:6" ht="18.75" customHeight="1">
      <c r="A10" s="27" t="s">
        <v>13</v>
      </c>
      <c r="B10" s="27"/>
      <c r="C10" s="27"/>
      <c r="D10" s="20">
        <f>IF(SUM(D5:D6)&gt;0,D5/SUM(D5:D6),"")</f>
        <v>0.72727272727272729</v>
      </c>
      <c r="E10" s="21">
        <v>1</v>
      </c>
    </row>
    <row r="11" spans="1:6" ht="18.75" customHeight="1">
      <c r="A11" s="27" t="s">
        <v>14</v>
      </c>
      <c r="B11" s="27"/>
      <c r="C11" s="27"/>
      <c r="D11" s="20">
        <f>IF(SUM(D5:D6)&gt;0,1-ROUND(D10,2),"")</f>
        <v>0.27</v>
      </c>
      <c r="E11" s="21">
        <v>0</v>
      </c>
    </row>
    <row r="12" spans="1:6" ht="15">
      <c r="A12" s="22"/>
      <c r="B12" s="22"/>
      <c r="C12" s="22"/>
    </row>
    <row r="13" spans="1:6" ht="17.45">
      <c r="A13" s="2" t="s">
        <v>15</v>
      </c>
      <c r="B13" s="2" t="s">
        <v>16</v>
      </c>
      <c r="C13" s="2" t="s">
        <v>17</v>
      </c>
      <c r="D13" s="2" t="s">
        <v>18</v>
      </c>
      <c r="E13" s="3" t="s">
        <v>19</v>
      </c>
      <c r="F13" s="4" t="s">
        <v>20</v>
      </c>
    </row>
    <row r="14" spans="1:6" ht="20.45" customHeight="1">
      <c r="A14" s="25" t="s">
        <v>21</v>
      </c>
      <c r="B14" s="23" t="s">
        <v>22</v>
      </c>
      <c r="C14" s="5" t="s">
        <v>23</v>
      </c>
      <c r="D14" s="6" t="s">
        <v>24</v>
      </c>
      <c r="E14" s="7"/>
      <c r="F14" s="8"/>
    </row>
    <row r="15" spans="1:6" ht="33.75">
      <c r="A15" s="25"/>
      <c r="B15" s="23" t="s">
        <v>25</v>
      </c>
      <c r="C15" s="5" t="s">
        <v>26</v>
      </c>
      <c r="D15" s="6" t="s">
        <v>27</v>
      </c>
      <c r="E15" s="9" t="s">
        <v>28</v>
      </c>
      <c r="F15" s="8"/>
    </row>
    <row r="16" spans="1:6" ht="33.75">
      <c r="A16" s="25"/>
      <c r="B16" s="23" t="s">
        <v>29</v>
      </c>
      <c r="C16" s="5" t="s">
        <v>30</v>
      </c>
      <c r="D16" s="6" t="s">
        <v>24</v>
      </c>
      <c r="E16" s="7"/>
      <c r="F16" s="8"/>
    </row>
    <row r="17" spans="1:6" ht="50.1">
      <c r="A17" s="25"/>
      <c r="B17" s="23" t="s">
        <v>31</v>
      </c>
      <c r="C17" s="5" t="s">
        <v>32</v>
      </c>
      <c r="D17" s="6" t="s">
        <v>24</v>
      </c>
      <c r="E17" s="7"/>
      <c r="F17" s="8"/>
    </row>
    <row r="18" spans="1:6" ht="33.75">
      <c r="A18" s="25"/>
      <c r="B18" s="23" t="s">
        <v>33</v>
      </c>
      <c r="C18" s="5" t="s">
        <v>34</v>
      </c>
      <c r="D18" s="6" t="s">
        <v>24</v>
      </c>
      <c r="E18" s="7"/>
      <c r="F18" s="8"/>
    </row>
    <row r="19" spans="1:6" ht="33.75">
      <c r="A19" s="25"/>
      <c r="B19" s="23" t="s">
        <v>35</v>
      </c>
      <c r="C19" s="5" t="s">
        <v>36</v>
      </c>
      <c r="D19" s="6" t="s">
        <v>24</v>
      </c>
      <c r="E19" s="7"/>
      <c r="F19" s="8"/>
    </row>
    <row r="20" spans="1:6" ht="33.75">
      <c r="A20" s="25"/>
      <c r="B20" s="23" t="s">
        <v>37</v>
      </c>
      <c r="C20" s="5" t="s">
        <v>38</v>
      </c>
      <c r="D20" s="6" t="s">
        <v>24</v>
      </c>
      <c r="E20" s="7"/>
      <c r="F20" s="8"/>
    </row>
    <row r="21" spans="1:6" ht="50.1">
      <c r="A21" s="25"/>
      <c r="B21" s="23" t="s">
        <v>39</v>
      </c>
      <c r="C21" s="5" t="s">
        <v>40</v>
      </c>
      <c r="D21" s="6" t="s">
        <v>24</v>
      </c>
      <c r="E21" s="7"/>
      <c r="F21" s="8"/>
    </row>
    <row r="22" spans="1:6" ht="33.75">
      <c r="A22" s="25"/>
      <c r="B22" s="23" t="s">
        <v>41</v>
      </c>
      <c r="C22" s="5" t="s">
        <v>42</v>
      </c>
      <c r="D22" s="6" t="s">
        <v>24</v>
      </c>
      <c r="E22" s="7"/>
      <c r="F22" s="8"/>
    </row>
    <row r="23" spans="1:6" ht="20.45" customHeight="1">
      <c r="A23" s="25" t="s">
        <v>43</v>
      </c>
      <c r="B23" s="23" t="s">
        <v>44</v>
      </c>
      <c r="C23" s="5" t="s">
        <v>45</v>
      </c>
      <c r="D23" s="6" t="s">
        <v>24</v>
      </c>
      <c r="E23" s="7"/>
      <c r="F23" s="8"/>
    </row>
    <row r="24" spans="1:6" ht="33.75">
      <c r="A24" s="25"/>
      <c r="B24" s="23" t="s">
        <v>46</v>
      </c>
      <c r="C24" s="5" t="s">
        <v>47</v>
      </c>
      <c r="D24" s="6" t="s">
        <v>24</v>
      </c>
      <c r="E24" s="7"/>
      <c r="F24" s="8"/>
    </row>
    <row r="25" spans="1:6" ht="33.75" customHeight="1">
      <c r="A25" s="25" t="s">
        <v>48</v>
      </c>
      <c r="B25" s="23" t="s">
        <v>49</v>
      </c>
      <c r="C25" s="5" t="s">
        <v>50</v>
      </c>
      <c r="D25" s="6" t="s">
        <v>24</v>
      </c>
      <c r="E25" s="7"/>
      <c r="F25" s="8"/>
    </row>
    <row r="26" spans="1:6" ht="82.5">
      <c r="A26" s="25"/>
      <c r="B26" s="23" t="s">
        <v>51</v>
      </c>
      <c r="C26" s="5" t="s">
        <v>52</v>
      </c>
      <c r="D26" s="6" t="s">
        <v>27</v>
      </c>
      <c r="E26" s="7" t="s">
        <v>53</v>
      </c>
      <c r="F26" s="8"/>
    </row>
    <row r="27" spans="1:6" ht="61.5">
      <c r="A27" s="25"/>
      <c r="B27" s="23" t="s">
        <v>54</v>
      </c>
      <c r="C27" s="5" t="s">
        <v>55</v>
      </c>
      <c r="D27" s="6" t="s">
        <v>56</v>
      </c>
      <c r="E27" s="7" t="s">
        <v>57</v>
      </c>
      <c r="F27" s="13" t="s">
        <v>58</v>
      </c>
    </row>
    <row r="28" spans="1:6" ht="33.75" customHeight="1">
      <c r="A28" s="25" t="s">
        <v>59</v>
      </c>
      <c r="B28" s="23" t="s">
        <v>60</v>
      </c>
      <c r="C28" s="5" t="s">
        <v>61</v>
      </c>
      <c r="D28" s="6" t="s">
        <v>24</v>
      </c>
      <c r="E28" s="7"/>
      <c r="F28" s="8"/>
    </row>
    <row r="29" spans="1:6" ht="50.1">
      <c r="A29" s="25"/>
      <c r="B29" s="23" t="s">
        <v>62</v>
      </c>
      <c r="C29" s="5" t="s">
        <v>63</v>
      </c>
      <c r="D29" s="6" t="s">
        <v>24</v>
      </c>
      <c r="E29" s="7"/>
      <c r="F29" s="8"/>
    </row>
    <row r="30" spans="1:6" ht="33.75">
      <c r="A30" s="25"/>
      <c r="B30" s="23" t="s">
        <v>64</v>
      </c>
      <c r="C30" s="5" t="s">
        <v>65</v>
      </c>
      <c r="D30" s="6" t="s">
        <v>24</v>
      </c>
      <c r="E30" s="7"/>
      <c r="F30" s="8"/>
    </row>
    <row r="31" spans="1:6" ht="33.75">
      <c r="A31" s="25"/>
      <c r="B31" s="23" t="s">
        <v>66</v>
      </c>
      <c r="C31" s="5" t="s">
        <v>67</v>
      </c>
      <c r="D31" s="6" t="s">
        <v>24</v>
      </c>
      <c r="E31" s="7"/>
      <c r="F31" s="8"/>
    </row>
    <row r="32" spans="1:6" ht="33.75">
      <c r="A32" s="25"/>
      <c r="B32" s="23" t="s">
        <v>68</v>
      </c>
      <c r="C32" s="5" t="s">
        <v>69</v>
      </c>
      <c r="D32" s="6" t="s">
        <v>24</v>
      </c>
      <c r="E32" s="7"/>
      <c r="F32" s="8"/>
    </row>
    <row r="33" spans="1:6" ht="33.75">
      <c r="A33" s="25"/>
      <c r="B33" s="23" t="s">
        <v>70</v>
      </c>
      <c r="C33" s="5" t="s">
        <v>71</v>
      </c>
      <c r="D33" s="6" t="s">
        <v>24</v>
      </c>
      <c r="E33" s="7"/>
      <c r="F33" s="8"/>
    </row>
    <row r="34" spans="1:6" ht="33.75">
      <c r="A34" s="25"/>
      <c r="B34" s="23" t="s">
        <v>72</v>
      </c>
      <c r="C34" s="5" t="s">
        <v>73</v>
      </c>
      <c r="D34" s="6" t="s">
        <v>24</v>
      </c>
      <c r="E34" s="7"/>
      <c r="F34" s="8"/>
    </row>
    <row r="35" spans="1:6" ht="33.75">
      <c r="A35" s="25"/>
      <c r="B35" s="23" t="s">
        <v>74</v>
      </c>
      <c r="C35" s="5" t="s">
        <v>75</v>
      </c>
      <c r="D35" s="6" t="s">
        <v>24</v>
      </c>
      <c r="E35" s="7"/>
      <c r="F35" s="8"/>
    </row>
    <row r="36" spans="1:6" ht="33.75">
      <c r="A36" s="25"/>
      <c r="B36" s="23" t="s">
        <v>76</v>
      </c>
      <c r="C36" s="5" t="s">
        <v>77</v>
      </c>
      <c r="D36" s="6" t="s">
        <v>24</v>
      </c>
      <c r="E36" s="7"/>
      <c r="F36" s="8"/>
    </row>
    <row r="37" spans="1:6" ht="33.75">
      <c r="A37" s="25"/>
      <c r="B37" s="23" t="s">
        <v>78</v>
      </c>
      <c r="C37" s="5" t="s">
        <v>79</v>
      </c>
      <c r="D37" s="6" t="s">
        <v>24</v>
      </c>
      <c r="E37" s="7"/>
      <c r="F37" s="8"/>
    </row>
    <row r="38" spans="1:6" ht="33.75">
      <c r="A38" s="25"/>
      <c r="B38" s="23" t="s">
        <v>80</v>
      </c>
      <c r="C38" s="5" t="s">
        <v>81</v>
      </c>
      <c r="D38" s="6" t="s">
        <v>24</v>
      </c>
      <c r="E38" s="7"/>
      <c r="F38" s="8"/>
    </row>
    <row r="39" spans="1:6" ht="33.75">
      <c r="A39" s="25"/>
      <c r="B39" s="23" t="s">
        <v>82</v>
      </c>
      <c r="C39" s="5" t="s">
        <v>83</v>
      </c>
      <c r="D39" s="6" t="s">
        <v>24</v>
      </c>
      <c r="E39" s="7"/>
      <c r="F39" s="8"/>
    </row>
    <row r="40" spans="1:6" ht="33.75">
      <c r="A40" s="25"/>
      <c r="B40" s="23" t="s">
        <v>84</v>
      </c>
      <c r="C40" s="5" t="s">
        <v>85</v>
      </c>
      <c r="D40" s="6" t="s">
        <v>24</v>
      </c>
      <c r="E40" s="7"/>
      <c r="F40" s="8"/>
    </row>
    <row r="41" spans="1:6" ht="20.45" customHeight="1">
      <c r="A41" s="25" t="s">
        <v>86</v>
      </c>
      <c r="B41" s="23" t="s">
        <v>87</v>
      </c>
      <c r="C41" s="5" t="s">
        <v>88</v>
      </c>
      <c r="D41" s="6" t="s">
        <v>24</v>
      </c>
      <c r="E41" s="7"/>
      <c r="F41" s="8"/>
    </row>
    <row r="42" spans="1:6" ht="33.75">
      <c r="A42" s="25"/>
      <c r="B42" s="23" t="s">
        <v>89</v>
      </c>
      <c r="C42" s="5" t="s">
        <v>90</v>
      </c>
      <c r="D42" s="6" t="s">
        <v>24</v>
      </c>
      <c r="E42" s="7"/>
      <c r="F42" s="8"/>
    </row>
    <row r="43" spans="1:6" ht="33.75">
      <c r="A43" s="25"/>
      <c r="B43" s="23" t="s">
        <v>91</v>
      </c>
      <c r="C43" s="5" t="s">
        <v>92</v>
      </c>
      <c r="D43" s="6" t="s">
        <v>24</v>
      </c>
      <c r="E43" s="7"/>
      <c r="F43" s="8"/>
    </row>
    <row r="44" spans="1:6" ht="33.75">
      <c r="A44" s="25"/>
      <c r="B44" s="23" t="s">
        <v>93</v>
      </c>
      <c r="C44" s="5" t="s">
        <v>94</v>
      </c>
      <c r="D44" s="6" t="s">
        <v>24</v>
      </c>
      <c r="E44" s="7"/>
      <c r="F44" s="8"/>
    </row>
    <row r="45" spans="1:6" ht="20.45">
      <c r="A45" s="25"/>
      <c r="B45" s="23" t="s">
        <v>95</v>
      </c>
      <c r="C45" s="5" t="s">
        <v>96</v>
      </c>
      <c r="D45" s="6" t="s">
        <v>24</v>
      </c>
      <c r="E45" s="7"/>
      <c r="F45" s="8"/>
    </row>
    <row r="46" spans="1:6" ht="33.75">
      <c r="A46" s="25"/>
      <c r="B46" s="23" t="s">
        <v>97</v>
      </c>
      <c r="C46" s="5" t="s">
        <v>98</v>
      </c>
      <c r="D46" s="6" t="s">
        <v>24</v>
      </c>
      <c r="E46" s="7"/>
      <c r="F46" s="8"/>
    </row>
    <row r="47" spans="1:6" ht="50.1">
      <c r="A47" s="25"/>
      <c r="B47" s="23" t="s">
        <v>99</v>
      </c>
      <c r="C47" s="5" t="s">
        <v>100</v>
      </c>
      <c r="D47" s="6" t="s">
        <v>24</v>
      </c>
      <c r="E47" s="7"/>
      <c r="F47" s="8"/>
    </row>
    <row r="48" spans="1:6" ht="33.75">
      <c r="A48" s="25"/>
      <c r="B48" s="23" t="s">
        <v>101</v>
      </c>
      <c r="C48" s="5" t="s">
        <v>102</v>
      </c>
      <c r="D48" s="6" t="s">
        <v>24</v>
      </c>
      <c r="E48" s="7"/>
      <c r="F48" s="8"/>
    </row>
    <row r="49" spans="1:6" ht="20.45" customHeight="1">
      <c r="A49" s="25" t="s">
        <v>103</v>
      </c>
      <c r="B49" s="23" t="s">
        <v>104</v>
      </c>
      <c r="C49" s="5" t="s">
        <v>105</v>
      </c>
      <c r="D49" s="6" t="s">
        <v>24</v>
      </c>
      <c r="E49" s="7"/>
      <c r="F49" s="8"/>
    </row>
    <row r="50" spans="1:6" ht="20.45">
      <c r="A50" s="25"/>
      <c r="B50" s="23" t="s">
        <v>106</v>
      </c>
      <c r="C50" s="5" t="s">
        <v>107</v>
      </c>
      <c r="D50" s="6" t="s">
        <v>24</v>
      </c>
      <c r="E50" s="7"/>
      <c r="F50" s="8"/>
    </row>
    <row r="51" spans="1:6" ht="33.75" customHeight="1">
      <c r="A51" s="25" t="s">
        <v>108</v>
      </c>
      <c r="B51" s="23" t="s">
        <v>109</v>
      </c>
      <c r="C51" s="5" t="s">
        <v>110</v>
      </c>
      <c r="D51" s="6" t="s">
        <v>56</v>
      </c>
      <c r="E51" s="7" t="s">
        <v>111</v>
      </c>
      <c r="F51" s="8"/>
    </row>
    <row r="52" spans="1:6" ht="33.75">
      <c r="A52" s="25"/>
      <c r="B52" s="23" t="s">
        <v>112</v>
      </c>
      <c r="C52" s="5" t="s">
        <v>113</v>
      </c>
      <c r="D52" s="6" t="s">
        <v>24</v>
      </c>
      <c r="E52" s="7"/>
      <c r="F52" s="8"/>
    </row>
    <row r="53" spans="1:6" ht="33.75">
      <c r="A53" s="25"/>
      <c r="B53" s="23" t="s">
        <v>114</v>
      </c>
      <c r="C53" s="5" t="s">
        <v>115</v>
      </c>
      <c r="D53" s="6" t="s">
        <v>27</v>
      </c>
      <c r="E53" s="10" t="s">
        <v>116</v>
      </c>
      <c r="F53" s="8"/>
    </row>
    <row r="54" spans="1:6" ht="33.75">
      <c r="A54" s="25"/>
      <c r="B54" s="23" t="s">
        <v>117</v>
      </c>
      <c r="C54" s="5" t="s">
        <v>118</v>
      </c>
      <c r="D54" s="6" t="s">
        <v>24</v>
      </c>
      <c r="E54" s="7"/>
      <c r="F54" s="8"/>
    </row>
    <row r="55" spans="1:6" ht="33.75">
      <c r="A55" s="25"/>
      <c r="B55" s="23" t="s">
        <v>119</v>
      </c>
      <c r="C55" s="5" t="s">
        <v>120</v>
      </c>
      <c r="D55" s="6" t="s">
        <v>24</v>
      </c>
      <c r="E55" s="7"/>
      <c r="F55" s="8"/>
    </row>
    <row r="56" spans="1:6" ht="20.45" customHeight="1">
      <c r="A56" s="25" t="s">
        <v>121</v>
      </c>
      <c r="B56" s="23" t="s">
        <v>122</v>
      </c>
      <c r="C56" s="5" t="s">
        <v>123</v>
      </c>
      <c r="D56" s="6" t="s">
        <v>24</v>
      </c>
      <c r="E56" s="7"/>
      <c r="F56" s="8"/>
    </row>
    <row r="57" spans="1:6" ht="123">
      <c r="A57" s="25"/>
      <c r="B57" s="23" t="s">
        <v>124</v>
      </c>
      <c r="C57" s="5" t="s">
        <v>125</v>
      </c>
      <c r="D57" s="6" t="s">
        <v>56</v>
      </c>
      <c r="E57" s="7" t="s">
        <v>126</v>
      </c>
      <c r="F57" s="13" t="s">
        <v>127</v>
      </c>
    </row>
    <row r="58" spans="1:6" ht="20.45">
      <c r="A58" s="25"/>
      <c r="B58" s="23" t="s">
        <v>128</v>
      </c>
      <c r="C58" s="5" t="s">
        <v>129</v>
      </c>
      <c r="D58" s="6" t="s">
        <v>24</v>
      </c>
      <c r="E58" s="7"/>
      <c r="F58" s="8"/>
    </row>
    <row r="59" spans="1:6" ht="33.75">
      <c r="A59" s="25"/>
      <c r="B59" s="23" t="s">
        <v>130</v>
      </c>
      <c r="C59" s="5" t="s">
        <v>131</v>
      </c>
      <c r="D59" s="6" t="s">
        <v>24</v>
      </c>
      <c r="E59" s="7"/>
      <c r="F59" s="8"/>
    </row>
    <row r="60" spans="1:6" ht="20.45">
      <c r="A60" s="25"/>
      <c r="B60" s="23" t="s">
        <v>132</v>
      </c>
      <c r="C60" s="5" t="s">
        <v>133</v>
      </c>
      <c r="D60" s="6" t="s">
        <v>24</v>
      </c>
      <c r="E60" s="7"/>
      <c r="F60" s="8"/>
    </row>
    <row r="61" spans="1:6" ht="20.45">
      <c r="A61" s="25"/>
      <c r="B61" s="23" t="s">
        <v>134</v>
      </c>
      <c r="C61" s="5" t="s">
        <v>135</v>
      </c>
      <c r="D61" s="6" t="s">
        <v>24</v>
      </c>
      <c r="E61" s="7"/>
      <c r="F61" s="8"/>
    </row>
    <row r="62" spans="1:6" ht="33.75">
      <c r="A62" s="25"/>
      <c r="B62" s="23" t="s">
        <v>136</v>
      </c>
      <c r="C62" s="5" t="s">
        <v>137</v>
      </c>
      <c r="D62" s="6" t="s">
        <v>24</v>
      </c>
      <c r="E62" s="7"/>
      <c r="F62" s="8"/>
    </row>
    <row r="63" spans="1:6" ht="33.75">
      <c r="A63" s="25"/>
      <c r="B63" s="23" t="s">
        <v>138</v>
      </c>
      <c r="C63" s="5" t="s">
        <v>139</v>
      </c>
      <c r="D63" s="6" t="s">
        <v>24</v>
      </c>
      <c r="E63" s="7"/>
      <c r="F63" s="8"/>
    </row>
    <row r="64" spans="1:6" ht="33.75">
      <c r="A64" s="25"/>
      <c r="B64" s="23" t="s">
        <v>140</v>
      </c>
      <c r="C64" s="5" t="s">
        <v>141</v>
      </c>
      <c r="D64" s="6" t="s">
        <v>24</v>
      </c>
      <c r="E64" s="7"/>
      <c r="F64" s="8"/>
    </row>
    <row r="65" spans="1:6" ht="33.75">
      <c r="A65" s="25"/>
      <c r="B65" s="23" t="s">
        <v>142</v>
      </c>
      <c r="C65" s="5" t="s">
        <v>143</v>
      </c>
      <c r="D65" s="6" t="s">
        <v>24</v>
      </c>
      <c r="E65" s="7"/>
      <c r="F65" s="8"/>
    </row>
    <row r="66" spans="1:6" ht="33.75" customHeight="1">
      <c r="A66" s="25" t="s">
        <v>144</v>
      </c>
      <c r="B66" s="23" t="s">
        <v>145</v>
      </c>
      <c r="C66" s="5" t="s">
        <v>146</v>
      </c>
      <c r="D66" s="6" t="s">
        <v>24</v>
      </c>
      <c r="E66" s="7"/>
      <c r="F66" s="8"/>
    </row>
    <row r="67" spans="1:6" ht="33.75">
      <c r="A67" s="25"/>
      <c r="B67" s="23" t="s">
        <v>147</v>
      </c>
      <c r="C67" s="5" t="s">
        <v>148</v>
      </c>
      <c r="D67" s="6" t="s">
        <v>24</v>
      </c>
      <c r="E67" s="7"/>
      <c r="F67" s="8"/>
    </row>
    <row r="68" spans="1:6" ht="20.45">
      <c r="A68" s="25"/>
      <c r="B68" s="23" t="s">
        <v>149</v>
      </c>
      <c r="C68" s="5" t="s">
        <v>150</v>
      </c>
      <c r="D68" s="6" t="s">
        <v>24</v>
      </c>
      <c r="E68" s="7"/>
      <c r="F68" s="8"/>
    </row>
    <row r="69" spans="1:6" ht="33.75">
      <c r="A69" s="25"/>
      <c r="B69" s="23" t="s">
        <v>151</v>
      </c>
      <c r="C69" s="5" t="s">
        <v>152</v>
      </c>
      <c r="D69" s="6" t="s">
        <v>24</v>
      </c>
      <c r="E69" s="7"/>
      <c r="F69" s="8"/>
    </row>
    <row r="70" spans="1:6" ht="66.2" customHeight="1">
      <c r="A70" s="25" t="s">
        <v>153</v>
      </c>
      <c r="B70" s="23" t="s">
        <v>154</v>
      </c>
      <c r="C70" s="5" t="s">
        <v>155</v>
      </c>
      <c r="D70" s="6" t="s">
        <v>27</v>
      </c>
      <c r="E70" s="9" t="s">
        <v>156</v>
      </c>
      <c r="F70" s="8"/>
    </row>
    <row r="71" spans="1:6" ht="33.75">
      <c r="A71" s="25"/>
      <c r="B71" s="23" t="s">
        <v>157</v>
      </c>
      <c r="C71" s="5" t="s">
        <v>158</v>
      </c>
      <c r="D71" s="6" t="s">
        <v>27</v>
      </c>
      <c r="E71" s="10" t="s">
        <v>159</v>
      </c>
      <c r="F71" s="8"/>
    </row>
    <row r="72" spans="1:6" ht="33.75">
      <c r="A72" s="25"/>
      <c r="B72" s="23" t="s">
        <v>160</v>
      </c>
      <c r="C72" s="5" t="s">
        <v>161</v>
      </c>
      <c r="D72" s="6" t="s">
        <v>27</v>
      </c>
      <c r="E72" s="9" t="s">
        <v>162</v>
      </c>
      <c r="F72" s="8"/>
    </row>
    <row r="73" spans="1:6" ht="66.2">
      <c r="A73" s="25"/>
      <c r="B73" s="23" t="s">
        <v>163</v>
      </c>
      <c r="C73" s="5" t="s">
        <v>164</v>
      </c>
      <c r="D73" s="6" t="s">
        <v>27</v>
      </c>
      <c r="E73" s="9" t="s">
        <v>165</v>
      </c>
      <c r="F73" s="8"/>
    </row>
    <row r="74" spans="1:6" ht="33.75">
      <c r="A74" s="25"/>
      <c r="B74" s="23" t="s">
        <v>166</v>
      </c>
      <c r="C74" s="5" t="s">
        <v>167</v>
      </c>
      <c r="D74" s="6" t="s">
        <v>24</v>
      </c>
      <c r="E74" s="7"/>
      <c r="F74" s="8"/>
    </row>
    <row r="75" spans="1:6" ht="33.75">
      <c r="A75" s="25"/>
      <c r="B75" s="23" t="s">
        <v>168</v>
      </c>
      <c r="C75" s="5" t="s">
        <v>169</v>
      </c>
      <c r="D75" s="6" t="s">
        <v>24</v>
      </c>
      <c r="E75" s="7"/>
      <c r="F75" s="8"/>
    </row>
    <row r="76" spans="1:6" ht="33.75">
      <c r="A76" s="25"/>
      <c r="B76" s="23" t="s">
        <v>170</v>
      </c>
      <c r="C76" s="5" t="s">
        <v>171</v>
      </c>
      <c r="D76" s="6" t="s">
        <v>27</v>
      </c>
      <c r="E76" s="9" t="s">
        <v>172</v>
      </c>
      <c r="F76" s="8"/>
    </row>
    <row r="77" spans="1:6" ht="33.75">
      <c r="A77" s="25"/>
      <c r="B77" s="23" t="s">
        <v>173</v>
      </c>
      <c r="C77" s="5" t="s">
        <v>174</v>
      </c>
      <c r="D77" s="6" t="s">
        <v>24</v>
      </c>
      <c r="E77" s="7"/>
      <c r="F77" s="8"/>
    </row>
    <row r="78" spans="1:6" ht="50.1">
      <c r="A78" s="25"/>
      <c r="B78" s="23" t="s">
        <v>175</v>
      </c>
      <c r="C78" s="5" t="s">
        <v>176</v>
      </c>
      <c r="D78" s="6" t="s">
        <v>24</v>
      </c>
      <c r="E78" s="7"/>
      <c r="F78" s="8"/>
    </row>
    <row r="79" spans="1:6" ht="50.1">
      <c r="A79" s="25"/>
      <c r="B79" s="23" t="s">
        <v>177</v>
      </c>
      <c r="C79" s="5" t="s">
        <v>178</v>
      </c>
      <c r="D79" s="6" t="s">
        <v>24</v>
      </c>
      <c r="E79" s="7"/>
      <c r="F79" s="8"/>
    </row>
    <row r="80" spans="1:6" ht="82.5">
      <c r="A80" s="25"/>
      <c r="B80" s="23" t="s">
        <v>179</v>
      </c>
      <c r="C80" s="5" t="s">
        <v>180</v>
      </c>
      <c r="D80" s="6" t="s">
        <v>27</v>
      </c>
      <c r="E80" s="9" t="s">
        <v>181</v>
      </c>
      <c r="F80" s="8"/>
    </row>
    <row r="81" spans="1:6" ht="115.15">
      <c r="A81" s="25"/>
      <c r="B81" s="23" t="s">
        <v>182</v>
      </c>
      <c r="C81" s="5" t="s">
        <v>183</v>
      </c>
      <c r="D81" s="6" t="s">
        <v>27</v>
      </c>
      <c r="E81" s="9" t="s">
        <v>184</v>
      </c>
      <c r="F81" s="8"/>
    </row>
    <row r="82" spans="1:6" ht="50.1">
      <c r="A82" s="25"/>
      <c r="B82" s="23" t="s">
        <v>185</v>
      </c>
      <c r="C82" s="5" t="s">
        <v>186</v>
      </c>
      <c r="D82" s="6" t="s">
        <v>24</v>
      </c>
      <c r="E82" s="7"/>
      <c r="F82" s="8"/>
    </row>
    <row r="83" spans="1:6" ht="50.1">
      <c r="A83" s="25"/>
      <c r="B83" s="23" t="s">
        <v>187</v>
      </c>
      <c r="C83" s="5" t="s">
        <v>188</v>
      </c>
      <c r="D83" s="6" t="s">
        <v>24</v>
      </c>
      <c r="E83" s="7"/>
      <c r="F83" s="8"/>
    </row>
    <row r="84" spans="1:6" ht="17.45" customHeight="1">
      <c r="A84" s="25" t="s">
        <v>189</v>
      </c>
      <c r="B84" s="23" t="s">
        <v>190</v>
      </c>
      <c r="C84" s="5" t="s">
        <v>191</v>
      </c>
      <c r="D84" s="6" t="s">
        <v>27</v>
      </c>
      <c r="E84" s="7" t="s">
        <v>192</v>
      </c>
      <c r="F84" s="8"/>
    </row>
    <row r="85" spans="1:6" ht="33.75">
      <c r="A85" s="25"/>
      <c r="B85" s="23" t="s">
        <v>193</v>
      </c>
      <c r="C85" s="5" t="s">
        <v>194</v>
      </c>
      <c r="D85" s="6" t="s">
        <v>27</v>
      </c>
      <c r="E85" s="7" t="s">
        <v>195</v>
      </c>
      <c r="F85" s="8"/>
    </row>
    <row r="86" spans="1:6" ht="50.1">
      <c r="A86" s="25"/>
      <c r="B86" s="23" t="s">
        <v>196</v>
      </c>
      <c r="C86" s="5" t="s">
        <v>197</v>
      </c>
      <c r="D86" s="6" t="s">
        <v>24</v>
      </c>
      <c r="E86" s="7"/>
      <c r="F86" s="8"/>
    </row>
    <row r="87" spans="1:6" ht="82.5">
      <c r="A87" s="25"/>
      <c r="B87" s="23" t="s">
        <v>198</v>
      </c>
      <c r="C87" s="5" t="s">
        <v>199</v>
      </c>
      <c r="D87" s="6" t="s">
        <v>27</v>
      </c>
      <c r="E87" s="9" t="s">
        <v>200</v>
      </c>
      <c r="F87" s="8"/>
    </row>
    <row r="88" spans="1:6" ht="33.75">
      <c r="A88" s="25"/>
      <c r="B88" s="23" t="s">
        <v>201</v>
      </c>
      <c r="C88" s="5" t="s">
        <v>202</v>
      </c>
      <c r="D88" s="6" t="s">
        <v>27</v>
      </c>
      <c r="E88" s="7" t="s">
        <v>203</v>
      </c>
      <c r="F88" s="8"/>
    </row>
    <row r="89" spans="1:6" ht="33.75">
      <c r="A89" s="25"/>
      <c r="B89" s="23" t="s">
        <v>204</v>
      </c>
      <c r="C89" s="5" t="s">
        <v>205</v>
      </c>
      <c r="D89" s="6" t="s">
        <v>27</v>
      </c>
      <c r="E89" s="7" t="s">
        <v>206</v>
      </c>
      <c r="F89" s="8"/>
    </row>
    <row r="90" spans="1:6" ht="46.5">
      <c r="A90" s="25"/>
      <c r="B90" s="23" t="s">
        <v>207</v>
      </c>
      <c r="C90" s="5" t="s">
        <v>208</v>
      </c>
      <c r="D90" s="6" t="s">
        <v>56</v>
      </c>
      <c r="E90" s="7" t="s">
        <v>209</v>
      </c>
      <c r="F90" s="13" t="s">
        <v>210</v>
      </c>
    </row>
    <row r="91" spans="1:6" ht="33.75">
      <c r="A91" s="25"/>
      <c r="B91" s="23" t="s">
        <v>211</v>
      </c>
      <c r="C91" s="5" t="s">
        <v>212</v>
      </c>
      <c r="D91" s="6" t="s">
        <v>24</v>
      </c>
      <c r="E91" s="7"/>
      <c r="F91" s="8"/>
    </row>
    <row r="92" spans="1:6" ht="33.75">
      <c r="A92" s="25"/>
      <c r="B92" s="23" t="s">
        <v>213</v>
      </c>
      <c r="C92" s="5" t="s">
        <v>214</v>
      </c>
      <c r="D92" s="6" t="s">
        <v>24</v>
      </c>
      <c r="E92" s="7"/>
      <c r="F92" s="8"/>
    </row>
    <row r="93" spans="1:6" ht="211.5">
      <c r="A93" s="25"/>
      <c r="B93" s="23" t="s">
        <v>215</v>
      </c>
      <c r="C93" s="5" t="s">
        <v>216</v>
      </c>
      <c r="D93" s="6" t="s">
        <v>56</v>
      </c>
      <c r="E93" s="11" t="s">
        <v>217</v>
      </c>
      <c r="F93" s="13" t="s">
        <v>218</v>
      </c>
    </row>
    <row r="94" spans="1:6" ht="409.6">
      <c r="A94" s="25"/>
      <c r="B94" s="23" t="s">
        <v>219</v>
      </c>
      <c r="C94" s="5" t="s">
        <v>220</v>
      </c>
      <c r="D94" s="6" t="s">
        <v>56</v>
      </c>
      <c r="E94" s="11" t="s">
        <v>221</v>
      </c>
      <c r="F94" s="14" t="s">
        <v>222</v>
      </c>
    </row>
    <row r="95" spans="1:6" ht="82.5">
      <c r="A95" s="25"/>
      <c r="B95" s="23" t="s">
        <v>223</v>
      </c>
      <c r="C95" s="5" t="s">
        <v>224</v>
      </c>
      <c r="D95" s="6" t="s">
        <v>24</v>
      </c>
      <c r="E95" s="7"/>
      <c r="F95" s="8"/>
    </row>
    <row r="96" spans="1:6" ht="33.75">
      <c r="A96" s="25"/>
      <c r="B96" s="23" t="s">
        <v>225</v>
      </c>
      <c r="C96" s="5" t="s">
        <v>226</v>
      </c>
      <c r="D96" s="6" t="s">
        <v>24</v>
      </c>
      <c r="E96" s="7"/>
      <c r="F96" s="8"/>
    </row>
    <row r="97" spans="1:6" ht="33.75" customHeight="1">
      <c r="A97" s="25" t="s">
        <v>227</v>
      </c>
      <c r="B97" s="23" t="s">
        <v>228</v>
      </c>
      <c r="C97" s="5" t="s">
        <v>229</v>
      </c>
      <c r="D97" s="6" t="s">
        <v>24</v>
      </c>
      <c r="E97" s="7"/>
      <c r="F97" s="8"/>
    </row>
    <row r="98" spans="1:6" ht="33.75">
      <c r="A98" s="25"/>
      <c r="B98" s="23" t="s">
        <v>230</v>
      </c>
      <c r="C98" s="5" t="s">
        <v>231</v>
      </c>
      <c r="D98" s="6" t="s">
        <v>24</v>
      </c>
      <c r="E98" s="7"/>
      <c r="F98" s="8"/>
    </row>
    <row r="99" spans="1:6" ht="20.45">
      <c r="A99" s="25"/>
      <c r="B99" s="23" t="s">
        <v>232</v>
      </c>
      <c r="C99" s="5" t="s">
        <v>233</v>
      </c>
      <c r="D99" s="6" t="s">
        <v>24</v>
      </c>
      <c r="E99" s="7"/>
      <c r="F99" s="8"/>
    </row>
    <row r="100" spans="1:6" ht="33.75">
      <c r="A100" s="25"/>
      <c r="B100" s="23" t="s">
        <v>234</v>
      </c>
      <c r="C100" s="5" t="s">
        <v>235</v>
      </c>
      <c r="D100" s="6" t="s">
        <v>24</v>
      </c>
      <c r="E100" s="7"/>
      <c r="F100" s="8"/>
    </row>
    <row r="101" spans="1:6" ht="33.75">
      <c r="A101" s="25"/>
      <c r="B101" s="23" t="s">
        <v>236</v>
      </c>
      <c r="C101" s="5" t="s">
        <v>237</v>
      </c>
      <c r="D101" s="6" t="s">
        <v>24</v>
      </c>
      <c r="E101" s="7"/>
      <c r="F101" s="8"/>
    </row>
    <row r="102" spans="1:6" ht="66.2">
      <c r="A102" s="25"/>
      <c r="B102" s="23" t="s">
        <v>238</v>
      </c>
      <c r="C102" s="5" t="s">
        <v>239</v>
      </c>
      <c r="D102" s="6" t="s">
        <v>24</v>
      </c>
      <c r="E102" s="7"/>
      <c r="F102" s="8"/>
    </row>
    <row r="103" spans="1:6" ht="33.75">
      <c r="A103" s="25"/>
      <c r="B103" s="23" t="s">
        <v>240</v>
      </c>
      <c r="C103" s="5" t="s">
        <v>241</v>
      </c>
      <c r="D103" s="6" t="s">
        <v>24</v>
      </c>
      <c r="E103" s="7"/>
      <c r="F103" s="8"/>
    </row>
    <row r="104" spans="1:6" ht="20.45">
      <c r="A104" s="25"/>
      <c r="B104" s="23" t="s">
        <v>242</v>
      </c>
      <c r="C104" s="5" t="s">
        <v>243</v>
      </c>
      <c r="D104" s="6" t="s">
        <v>24</v>
      </c>
      <c r="E104" s="7"/>
      <c r="F104" s="8"/>
    </row>
    <row r="105" spans="1:6" ht="33.75">
      <c r="A105" s="25"/>
      <c r="B105" s="23" t="s">
        <v>244</v>
      </c>
      <c r="C105" s="5" t="s">
        <v>245</v>
      </c>
      <c r="D105" s="6" t="s">
        <v>27</v>
      </c>
      <c r="E105" s="10" t="s">
        <v>246</v>
      </c>
      <c r="F105" s="8"/>
    </row>
    <row r="106" spans="1:6" ht="50.1">
      <c r="A106" s="25"/>
      <c r="B106" s="23" t="s">
        <v>247</v>
      </c>
      <c r="C106" s="5" t="s">
        <v>248</v>
      </c>
      <c r="D106" s="6" t="s">
        <v>24</v>
      </c>
      <c r="E106" s="7"/>
      <c r="F106" s="8"/>
    </row>
    <row r="107" spans="1:6" ht="50.1">
      <c r="A107" s="25"/>
      <c r="B107" s="23" t="s">
        <v>249</v>
      </c>
      <c r="C107" s="5" t="s">
        <v>250</v>
      </c>
      <c r="D107" s="6" t="s">
        <v>24</v>
      </c>
      <c r="E107" s="7"/>
      <c r="F107" s="8"/>
    </row>
    <row r="108" spans="1:6" ht="33.75" customHeight="1">
      <c r="A108" s="25" t="s">
        <v>251</v>
      </c>
      <c r="B108" s="23" t="s">
        <v>252</v>
      </c>
      <c r="C108" s="5" t="s">
        <v>253</v>
      </c>
      <c r="D108" s="6" t="s">
        <v>24</v>
      </c>
      <c r="E108" s="7"/>
      <c r="F108" s="8"/>
    </row>
    <row r="109" spans="1:6" ht="50.1">
      <c r="A109" s="25"/>
      <c r="B109" s="23" t="s">
        <v>254</v>
      </c>
      <c r="C109" s="5" t="s">
        <v>255</v>
      </c>
      <c r="D109" s="6" t="s">
        <v>24</v>
      </c>
      <c r="E109" s="7"/>
      <c r="F109" s="8"/>
    </row>
    <row r="110" spans="1:6" ht="50.1">
      <c r="A110" s="25"/>
      <c r="B110" s="23" t="s">
        <v>256</v>
      </c>
      <c r="C110" s="5" t="s">
        <v>257</v>
      </c>
      <c r="D110" s="6" t="s">
        <v>24</v>
      </c>
      <c r="E110" s="7"/>
      <c r="F110" s="8"/>
    </row>
    <row r="111" spans="1:6" ht="33.75">
      <c r="A111" s="25"/>
      <c r="B111" s="23" t="s">
        <v>258</v>
      </c>
      <c r="C111" s="5" t="s">
        <v>259</v>
      </c>
      <c r="D111" s="6" t="s">
        <v>24</v>
      </c>
      <c r="E111" s="7"/>
      <c r="F111" s="8"/>
    </row>
    <row r="112" spans="1:6" ht="33.75">
      <c r="A112" s="25"/>
      <c r="B112" s="23" t="s">
        <v>260</v>
      </c>
      <c r="C112" s="5" t="s">
        <v>261</v>
      </c>
      <c r="D112" s="6" t="s">
        <v>24</v>
      </c>
      <c r="E112" s="7"/>
      <c r="F112" s="8"/>
    </row>
    <row r="113" spans="1:6" ht="50.1">
      <c r="A113" s="25"/>
      <c r="B113" s="23" t="s">
        <v>262</v>
      </c>
      <c r="C113" s="5" t="s">
        <v>263</v>
      </c>
      <c r="D113" s="6" t="s">
        <v>24</v>
      </c>
      <c r="E113" s="7"/>
      <c r="F113" s="8"/>
    </row>
    <row r="114" spans="1:6" ht="33.75">
      <c r="A114" s="25"/>
      <c r="B114" s="23" t="s">
        <v>264</v>
      </c>
      <c r="C114" s="5" t="s">
        <v>265</v>
      </c>
      <c r="D114" s="6" t="s">
        <v>24</v>
      </c>
      <c r="E114" s="7"/>
      <c r="F114" s="8"/>
    </row>
    <row r="115" spans="1:6" ht="33.75">
      <c r="A115" s="25"/>
      <c r="B115" s="23" t="s">
        <v>266</v>
      </c>
      <c r="C115" s="5" t="s">
        <v>267</v>
      </c>
      <c r="D115" s="6" t="s">
        <v>24</v>
      </c>
      <c r="E115" s="7"/>
      <c r="F115" s="8"/>
    </row>
    <row r="116" spans="1:6" ht="50.1">
      <c r="A116" s="25"/>
      <c r="B116" s="23" t="s">
        <v>268</v>
      </c>
      <c r="C116" s="5" t="s">
        <v>269</v>
      </c>
      <c r="D116" s="6" t="s">
        <v>24</v>
      </c>
      <c r="E116" s="7"/>
      <c r="F116" s="8"/>
    </row>
    <row r="117" spans="1:6" ht="50.1">
      <c r="A117" s="25"/>
      <c r="B117" s="23" t="s">
        <v>270</v>
      </c>
      <c r="C117" s="5" t="s">
        <v>271</v>
      </c>
      <c r="D117" s="6" t="s">
        <v>24</v>
      </c>
      <c r="E117" s="7"/>
      <c r="F117" s="8"/>
    </row>
    <row r="118" spans="1:6" ht="50.1">
      <c r="A118" s="25"/>
      <c r="B118" s="23" t="s">
        <v>272</v>
      </c>
      <c r="C118" s="5" t="s">
        <v>273</v>
      </c>
      <c r="D118" s="6" t="s">
        <v>24</v>
      </c>
      <c r="E118" s="7"/>
      <c r="F118" s="8"/>
    </row>
    <row r="119" spans="1:6" ht="50.1">
      <c r="A119" s="25"/>
      <c r="B119" s="23" t="s">
        <v>274</v>
      </c>
      <c r="C119" s="5" t="s">
        <v>275</v>
      </c>
      <c r="D119" s="6" t="s">
        <v>24</v>
      </c>
      <c r="E119" s="7"/>
      <c r="F119" s="8"/>
    </row>
    <row r="120" spans="1:6" ht="15"/>
    <row r="121" spans="1:6" ht="15"/>
    <row r="122" spans="1:6" ht="15"/>
    <row r="123" spans="1:6" ht="15">
      <c r="A123" s="26" t="s">
        <v>276</v>
      </c>
      <c r="B123" s="26"/>
      <c r="C123" s="26"/>
      <c r="D123" s="26"/>
      <c r="E123" s="12" t="s">
        <v>277</v>
      </c>
    </row>
    <row r="124" spans="1:6" ht="66.2" customHeight="1">
      <c r="A124" s="24" t="s">
        <v>278</v>
      </c>
      <c r="B124" s="24"/>
      <c r="C124" s="24"/>
      <c r="D124" s="24"/>
      <c r="E124" s="7" t="s">
        <v>279</v>
      </c>
    </row>
    <row r="125" spans="1:6" ht="33.75" customHeight="1">
      <c r="A125" s="24" t="s">
        <v>280</v>
      </c>
      <c r="B125" s="24"/>
      <c r="C125" s="24"/>
      <c r="D125" s="24"/>
      <c r="E125" s="7" t="s">
        <v>281</v>
      </c>
    </row>
    <row r="126" spans="1:6" ht="33.75" customHeight="1">
      <c r="A126" s="24" t="s">
        <v>282</v>
      </c>
      <c r="B126" s="24"/>
      <c r="C126" s="24"/>
      <c r="D126" s="24"/>
      <c r="E126" s="7" t="s">
        <v>283</v>
      </c>
    </row>
    <row r="127" spans="1:6" ht="76.5" customHeight="1">
      <c r="A127" s="24" t="s">
        <v>284</v>
      </c>
      <c r="B127" s="24"/>
      <c r="C127" s="24"/>
      <c r="D127" s="24"/>
      <c r="E127" s="7" t="s">
        <v>285</v>
      </c>
    </row>
    <row r="128" spans="1:6" ht="98.85" customHeight="1">
      <c r="A128" s="24" t="s">
        <v>286</v>
      </c>
      <c r="B128" s="24"/>
      <c r="C128" s="24"/>
      <c r="D128" s="24"/>
      <c r="E128" s="7" t="s">
        <v>287</v>
      </c>
    </row>
  </sheetData>
  <mergeCells count="30">
    <mergeCell ref="A1:D1"/>
    <mergeCell ref="A2:C2"/>
    <mergeCell ref="A3:C3"/>
    <mergeCell ref="A4:C4"/>
    <mergeCell ref="A5:C5"/>
    <mergeCell ref="A6:C6"/>
    <mergeCell ref="A7:C7"/>
    <mergeCell ref="A8:C8"/>
    <mergeCell ref="A9:C9"/>
    <mergeCell ref="A10:C10"/>
    <mergeCell ref="A11:C11"/>
    <mergeCell ref="A14:A22"/>
    <mergeCell ref="A23:A24"/>
    <mergeCell ref="A25:A27"/>
    <mergeCell ref="A28:A40"/>
    <mergeCell ref="A41:A48"/>
    <mergeCell ref="A49:A50"/>
    <mergeCell ref="A51:A55"/>
    <mergeCell ref="A56:A65"/>
    <mergeCell ref="A66:A69"/>
    <mergeCell ref="A70:A83"/>
    <mergeCell ref="A84:A96"/>
    <mergeCell ref="A97:A107"/>
    <mergeCell ref="A108:A119"/>
    <mergeCell ref="A123:D123"/>
    <mergeCell ref="A124:D124"/>
    <mergeCell ref="A125:D125"/>
    <mergeCell ref="A126:D126"/>
    <mergeCell ref="A127:D127"/>
    <mergeCell ref="A128:D128"/>
  </mergeCells>
  <conditionalFormatting sqref="E15">
    <cfRule type="expression" dxfId="24" priority="2">
      <formula>$D15="Non testé"</formula>
    </cfRule>
    <cfRule type="expression" dxfId="23" priority="3">
      <formula>$D15="Conforme"</formula>
    </cfRule>
    <cfRule type="expression" dxfId="22" priority="4">
      <formula>$D15="Non conforme"</formula>
    </cfRule>
  </conditionalFormatting>
  <conditionalFormatting sqref="E53">
    <cfRule type="expression" dxfId="21" priority="5">
      <formula>$D53="Non testé"</formula>
    </cfRule>
    <cfRule type="expression" dxfId="20" priority="6">
      <formula>$D53="Conforme"</formula>
    </cfRule>
    <cfRule type="expression" dxfId="19" priority="7">
      <formula>$D53="Non conforme"</formula>
    </cfRule>
  </conditionalFormatting>
  <conditionalFormatting sqref="E70:E73">
    <cfRule type="expression" dxfId="18" priority="8">
      <formula>$D70="Non testé"</formula>
    </cfRule>
    <cfRule type="expression" dxfId="17" priority="9">
      <formula>$D70="Conforme"</formula>
    </cfRule>
    <cfRule type="expression" dxfId="16" priority="10">
      <formula>$D70="Non conforme"</formula>
    </cfRule>
  </conditionalFormatting>
  <conditionalFormatting sqref="E76">
    <cfRule type="expression" dxfId="15" priority="11">
      <formula>$D76="Non testé"</formula>
    </cfRule>
    <cfRule type="expression" dxfId="14" priority="12">
      <formula>$D76="Conforme"</formula>
    </cfRule>
    <cfRule type="expression" dxfId="13" priority="13">
      <formula>$D76="Non conforme"</formula>
    </cfRule>
  </conditionalFormatting>
  <conditionalFormatting sqref="E87">
    <cfRule type="expression" dxfId="12" priority="14">
      <formula>$D87="Non testé"</formula>
    </cfRule>
    <cfRule type="expression" dxfId="11" priority="15">
      <formula>$D87="Conforme"</formula>
    </cfRule>
    <cfRule type="expression" dxfId="10" priority="16">
      <formula>$D87="Non conforme"</formula>
    </cfRule>
  </conditionalFormatting>
  <conditionalFormatting sqref="E105">
    <cfRule type="expression" dxfId="9" priority="17">
      <formula>$D105="Non testé"</formula>
    </cfRule>
    <cfRule type="expression" dxfId="8" priority="18">
      <formula>$D105="Conforme"</formula>
    </cfRule>
    <cfRule type="expression" dxfId="7" priority="19">
      <formula>$D105="Non conforme"</formula>
    </cfRule>
  </conditionalFormatting>
  <conditionalFormatting sqref="E80:E81">
    <cfRule type="expression" dxfId="6" priority="20">
      <formula>$D80="Non testé"</formula>
    </cfRule>
    <cfRule type="expression" dxfId="5" priority="21">
      <formula>$D80="Conforme"</formula>
    </cfRule>
    <cfRule type="expression" dxfId="4" priority="22">
      <formula>$D80="Non conforme"</formula>
    </cfRule>
  </conditionalFormatting>
  <conditionalFormatting sqref="D82:E86 D98:D105 D106:E119 D88:E104 D87 D78:D81 D77:E79 D74:E75 D70:D76 D54:E69 D53 D14:E14 D15 D16:E52">
    <cfRule type="expression" dxfId="3" priority="23">
      <formula>$D14="Non testé"</formula>
    </cfRule>
    <cfRule type="expression" dxfId="2" priority="24">
      <formula>$D14="Dérogé"</formula>
    </cfRule>
    <cfRule type="expression" dxfId="1" priority="25">
      <formula>$D14="Conforme"</formula>
    </cfRule>
    <cfRule type="expression" dxfId="0" priority="26">
      <formula>$D14="Non conforme"</formula>
    </cfRule>
  </conditionalFormatting>
  <dataValidations count="2">
    <dataValidation operator="equal" allowBlank="1" showInputMessage="1" showErrorMessage="1" prompt="Format JJ/MM/AAAA" sqref="D3" xr:uid="{00000000-0002-0000-0000-000000000000}">
      <formula1>0</formula1>
      <formula2>0</formula2>
    </dataValidation>
    <dataValidation type="list" operator="equal" allowBlank="1" showInputMessage="1" showErrorMessage="1" sqref="D14:D119" xr:uid="{00000000-0002-0000-0000-000001000000}">
      <formula1>"Conforme,Non conforme,Non applicable,Dérogé,Non testé"</formula1>
      <formula2>0</formula2>
    </dataValidation>
  </dataValidations>
  <hyperlinks>
    <hyperlink ref="F57" r:id="rId1" display="https://www.w3.org/TR/css-variables-1/" xr:uid="{00000000-0004-0000-0000-000000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4</cp:revision>
  <dcterms:created xsi:type="dcterms:W3CDTF">2025-03-05T16:22:31Z</dcterms:created>
  <dcterms:modified xsi:type="dcterms:W3CDTF">2025-09-19T11:32:55Z</dcterms:modified>
  <cp:category/>
  <cp:contentStatus/>
</cp:coreProperties>
</file>
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07B22C59-206D-BC4F-881A-C9A5A8C0F548}" xr6:coauthVersionLast="47" xr6:coauthVersionMax="47" xr10:uidLastSave="{00000000-0000-0000-0000-000000000000}"/>
  <bookViews>
    <workbookView xWindow="1800" yWindow="1440" windowWidth="49100" windowHeight="26880" xr2:uid="{00000000-000D-0000-FFFF-FFFF00000000}"/>
  </bookViews>
  <sheets>
    <sheet name="ChipLis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<sst xmlns="http://schemas.openxmlformats.org/spreadsheetml/2006/main" count="382" uniqueCount="275">
  <si>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</si>
  <si>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</si>
  <si>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</si>
  <si>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</si>
  <si>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</si>
  <si>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</si>
  <si>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</si>
  <si>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</si>
  <si>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</si>
  <si>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</si>
  <si>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</si>
  <si>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</si>
  <si>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</si>
  <si>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</si>
  <si>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</si>
  <si>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</si>
  <si>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</si>
  <si>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</si>
  <si>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</si>
  <si>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</si>
  <si>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</si>
  <si>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</si>
  <si>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</si>
  <si>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</si>
  <si>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</si>
  <si>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</si>
  <si>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</si>
  <si>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</si>
  <si>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</si>
  <si>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</si>
  <si>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</si>
  <si>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</si>
  <si>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</si>
  <si>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</si>
  <si>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</si>
  <si>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</si>
  <si>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</si>
  <si>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</si>
  <si>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</si>
  <si>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</si>
  <si>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</si>
  <si>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</si>
  <si>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</si>
  <si>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</si>
  <si>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</si>
  <si>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</si>
  <si>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</si>
  <si>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</si>
  <si>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</si>
  <si>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</si>
  <si>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</si>
  <si>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</si>
  <si>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</si>
  <si>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</si>
  <si>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</si>
  <si>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</si>
  <si>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</si>
  <si>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</si>
  <si>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</si>
  <si>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</si>
  <si>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</si>
  <si>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</si>
  <si>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</si>
  <si>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</si>
  <si>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</si>
  <si>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</si>
  <si>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</si>
  <si>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</si>
  <si>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</si>
  <si>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</si>
  <si>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</si>
  <si>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</si>
  <si>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</si>
  <si>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</si>
  <si>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</si>
  <si>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</si>
  <si>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</si>
  <si>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</si>
  <si>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</si>
  <si>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</si>
  <si>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</si>
  <si>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</si>
  <si>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</si>
  <si>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</si>
  <si>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</si>
  <si>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</si>
  <si>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</si>
  <si>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</si>
  <si>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</si>
  <si>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</si>
  <si>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</si>
  <si>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</si>
  <si>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</si>
  <si>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</si>
  <si>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</si>
  <si>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</si>
  <si>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</si>
  <si>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</si>
  <si>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</si>
  <si>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</si>
  <si>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</si>
  <si>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</si>
  <si>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</si>
  <si>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</si>
  <si>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</si>
  <si>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</si>
  <si>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</si>
  <si>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</si>
  <si>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</si>
  <si>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</si>
  <si>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</si>
  <si>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</si>
  <si>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</si>
  <si>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</si>
  <si>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</si>
  <si>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</si>
  <si>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</si>
  <si>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</si>
  <si>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</si>
  <si>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</si>
  <si>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</si>
  <si>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</si>
  <si>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</si>
  <si>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</si>
  <si>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</si>
  <si>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</si>
  <si>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</si>
  <si>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</si>
  <si>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</si>
  <si>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</si>
  <si>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</si>
  <si>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</si>
  <si>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</si>
  <si>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</si>
  <si>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</si>
  <si>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</si>
  <si>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</si>
  <si>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</si>
  <si>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</si>
  <si>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</si>
  <si>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</si>
  <si>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</si>
  <si>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</si>
  <si>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</si>
  <si>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</si>
  <si>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</si>
  <si>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</si>
  <si>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</si>
  <si>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</si>
  <si>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</si>
  <si>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</si>
  <si>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</si>
  <si>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</si>
  <si>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</si>
  <si>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</si>
  <si>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</si>
  <si>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</si>
  <si>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</si>
  <si>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</si>
  <si>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</si>
  <si>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</si>
  <si>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</si>
  <si>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</si>
  <si>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</si>
  <si>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</si>
  <si>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</si>
  <si>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</si>
  <si>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</si>
  <si>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</si>
  <si>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</si>
  <si>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</si>
  <si>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</si>
  <si>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</si>
  <si>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</si>
  <si>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</si>
  <si>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</si>
  <si>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</si>
  <si>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</si>
  <si>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</si>
  <si>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</si>
  <si>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</si>
  <si>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</si>
  <si>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</si>
  <si>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</si>
  <si>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</si>
  <si>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</si>
  <si>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</si>
  <si>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</si>
  <si>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</si>
  <si>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</si>
  <si>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</si>
  <si>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</si>
  <si>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</si>
  <si>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</si>
  <si>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</si>
  <si>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</si>
  <si>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</si>
  <si>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</si>
  <si>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</si>
  <si>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</si>
  <si>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</si>
  <si>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</si>
  <si>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</si>
  <si>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</si>
  <si>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</si>
  <si>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</si>
  <si>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</si>
  <si>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</si>
  <si>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</si>
  <si>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</si>
  <si>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</si>
  <si>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</si>
  <si>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</si>
  <si>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</si>
  <si>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</si>
  <si>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</si>
  <si>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</si>
  <si>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</si>
  <si>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</si>
  <si>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</si>
  <si>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</si>
  <si>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</si>
  <si>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</si>
  <si>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</si>
  <si>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</si>
  <si>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</si>
  <si>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</si>
  <si>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</si>
  <si>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</si>
  <si>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</si>
  <si>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</si>
  <si>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</si>
  <si>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</si>
  <si>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</si>
  <si>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</si>
  <si>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</si>
  <si>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</si>
  <si>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</si>
  <si>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</si>
  <si>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</si>
  <si>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</si>
  <si>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</si>
  <si>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</si>
  <si>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</si>
  <si>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ChipList</t>
  </si>
  <si>
    <t>1.0.2</t>
  </si>
  <si>
    <t>Non conforme</t>
  </si>
  <si>
    <t>Certains focus des boutons de suppression ne sont pas suffisament contrastés (voir critère 3.3)</t>
  </si>
  <si>
    <t>Non applicable</t>
  </si>
  <si>
    <t>Les SVG bouton de suppression et icônes sont bien des images de décoration, ignorées par les technologies d'assistance avec aria-hidden="true". En revanche, ils possèdent l'attribut role="img" réservé aux images porteuses d'informations.</t>
  </si>
  <si>
    <t>- Overflow limit (12px normal) =&gt; texte blanc sur fond bleu =&gt; 9,38 (conforme)
- Libellé bouton "Réinitialiser le filtre" (12px normal)
  - normal/hover/focus =&gt; texte bleu sans fond blanc =&gt; 9,38 (conforme)
Thème Defaut :
  - Libellé (12px normal) =&gt; texte blanc sur fond bleu =&gt; 9,38 (conforme)
Thème Success :
  - Libellé (12px normal) =&gt; texte vert sur fond vert clair =&gt; 8,63 (conforme)
Thème Info :
  - Libellé (12px normal) =&gt; texte bleu sur fond bleu clair =&gt; 7,91 (conforme)
Thème Warning :
  - Libellé (12px normal) =&gt; texte marron sur fond jaune =&gt; 8,09 (conforme)
Thème Error :
  - Libellé (12px normal) =&gt; texte rouge sur fond rouge clair =&gt; 5,03 (conforme)</t>
  </si>
  <si>
    <t>- Focus ring bouton "Réinitialiser le filtre" =&gt; bordure bleu ciel sur fond blanc =&gt; 1,6 (non conforme =&gt; ratio minimum 3)
Thème Defaut :
  - Icône de suppression :
    - normal =&gt; icône blanche sur fond bleu =&gt; 9,38 (conforme)
    - hover =&gt; icône blanche sur fond bleu =&gt; 7,7 (conforme)
    - focus =&gt; icône blanche sur fond bleu ciel =&gt; 5,1 (conforme)
  - Focus bouton de suppression =&gt; bordure bleu ciel et fond contigü bleu =&gt; 4,6 (conforme)
Thème Success :
  - Icône de suppression :
    - normal =&gt; icône vert sur fond vert clair =&gt; 8,63 (conforme)
    - hover =&gt; icône vert sur fond vert clair =&gt; 9,4 (conforme)
    - focus =&gt; icône vert sur fond vert clair =&gt; 8,2 (conforme)
  - Focus bouton de suppression =&gt; bordure vert et fond contigü vert clair =&gt; 1,8 (non conforme =&gt; ratio minimum 3)
Thème Info :
  - Icône de suppression :
    - normal =&gt; icône bleue sur fond bleu clair =&gt; 7,91 (conforme)
    - hover =&gt; icône bleue sur fond bleu clair =&gt; 7,5 (conforme)
    - focus =&gt; icône bleue sur fond bleu clair =&gt; 6,5 (conforme)
  - Focus bouton de suppression =&gt; bordure bleue et fond contigü bleu clair =&gt; 1,8 (non conforme =&gt; ratio minimum 3)
Thème Warning :
  - Icône de suppression :
    - normal =&gt; icône marron sur fond jaune =&gt; 8,09 (conforme)
    - hover =&gt; icône marron sur fond jaune =&gt; 7,6 (conforme)
    - focus =&gt; icône marron sur fond jaune =&gt; 6,7 (conforme)
  - Focus bouton de suppression =&gt; bordure marron et fond contigü jaune =&gt; 1,8 (non conforme =&gt; ratio minimum 3)
Thème Error :
  - Icône de suppression :
    - normal =&gt; icône rouge sur fond rouge clair =&gt; 5,03 (conforme)
    - hover =&gt; icône rouge sur fond rouge clair =&gt; 4,8 (conforme)
    - focus =&gt; icône rouge sur fond rouge clair =&gt; 4,3 (conforme)
  - Focus bouton de suppression =&gt; bordure rouge et fond contigü rouge clair =&gt; 1,6 (non conforme =&gt; ratio minimum 3)</t>
  </si>
  <si>
    <t>Conforme</t>
  </si>
  <si>
    <t>Les tags devraient être inclus dans une liste ul/li. La balise "ul" devra avoir un nom accessible soit via un aria-label, soit un aria-labelledby, paramétrable par les développeurs. Attention, le bouton de réinitialisation des filtres doit être en dehors de cette liste.</t>
  </si>
  <si>
    <t>Erreurs remontées par le validateur W3C HTML :
- Element div not allowed as child of element span in this context. =&gt; il s'agit de la div (et ses enfants) .v-chip__content. Une div ne peut être enfant d'un span.</t>
  </si>
  <si>
    <t>Aucun piège au clavier n'est détecté. Il est bien possible d'atteindre via la touche tabulation les éléments prenant le focus suivants et précédents.</t>
  </si>
  <si>
    <t>L'ordre de tabulation entre les éléments est cohérent. Il sera de la responsabilité du développeur de gérer cette cohérence lors des ajouts/suppressions de tags.</t>
  </si>
  <si>
    <t>Testé avec Assistant RGAA :
body {
line-height: 1.5 !important;
letter-spacing: 0.12em !important;
 word-spacing: 0.16em !important;
}
p { margin-bottom: 2em !important;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</si>
  <si>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</si>
  <si>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L'information reste compréhensible car  l'ordre ne nuit pas à la compréhension du composant.</t>
  </si>
  <si>
    <t>Le contenu porteur d'information du composant est visible lorsque les feuilles de syles sont désactivées.</t>
  </si>
  <si>
    <t>Aucun problème de lisibilité  en zoom écran 200%.
Cependant, en zoom texte à 200%, l'icône de suppression est tronquée rendant difficile la compréhension de sa fonction =&gt; s'aligner sur l'icône à gauche qui est correctement visible sur ce mode.</t>
  </si>
  <si>
    <t>Chaque composant "tag" possède un fond et une couleur de police par défaut. En revanche, ce n'est pas le cas du composant "ChipList" dans sa globalité et du bouton de réinitialisation =&gt; charge au développeur de s'assurer que les balises parentes auront ces propriétés de styles par défaut.</t>
  </si>
  <si>
    <t>Grâce au nom accessible, l'information du bouton de suppression n'est pas donnée uniquement par la forme.</t>
  </si>
  <si>
    <t>Chaque bouton de suppression devraît reprendre le libellé du tag. Ex : Supprimer le filtre "Courrier".</t>
  </si>
  <si>
    <t>Test effectué à 320px (sens de lecture horizontal).
Les tags se mettent bien les uns en dessous des autres =&gt; aucune barre de défilement horizontal ou perte d'information.</t>
  </si>
  <si>
    <t>Les éléments connexes doivent être regroupées sous forme d'une liste ul/li, ol/li ou dl/dt/dd</t>
  </si>
  <si>
    <t>https://www.w3.org/WAI/WCAG21/Techniques/html/H48</t>
  </si>
  <si>
    <t>1- Chaque bouton de suppression devraît reprendre le libellé du tag. Ex : Supprimer le filtre "Courrier" (voir critère 10.10)
2- Le bouton "Réintialiser le filtre" n'est pas compréhensible =&gt; de quel filtre parlons nous lorsqu'il y a plusieurs tags ? Remplacer par "les filtres" lorsqu'il y en a plusieurs.
3- L'élément "+3" qui indiquent qu'il y a 3 filtres cachés possède le nom accessible "Filtres supplémentaires". Il faut indiquer le nombre de filtre supplémentaires et savoir quelles sont-ils. 2 moyens : soit les annoncer dans le aria-label, soit remplacer cet élément par un bouton qui permet d'afficher ces tags supplémentaires (et donc d'ajouter aussi le bouton permettant de cacher / revenir à l'état initial). Cet élément devraît faire parti de la liste à puces (voir critère 9.3)
4- L'élément "+3" possède un role="status" qui n'a pas d'intérêt =&gt; l'utilisateur n'a pas à être averti en l'état qu'il y a  X filtres cachés. En revanche, ce sera au développeur d'informer manuellement via un message de statut qu'à l'application des filtres, cela a bien été pris en compte (plus indication potentiellement du nombre de résultat associé à la nouvelle recherche). Mais ce n'est pas une responsabilité incombant à ce composant.</t>
  </si>
  <si>
    <t>Utilisation du composant SyIcon</t>
  </si>
  <si>
    <t>1.0.7</t>
  </si>
  <si>
    <t>Correction post audit V1 - (voir - https://github.com/assurance-maladie-digital/design-system-v3/issues/814)</t>
  </si>
  <si>
    <t>Fix contrasts on focus</t>
  </si>
  <si>
    <t>https://github.com/assurance-maladie-digital/design-system-v3/pull/948</t>
  </si>
  <si>
    <t>Voir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</si>
</sst>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family val="2"/>
      <scheme val="minor"/>
    </font>
    <font>
      <u/>
      <sz val="12"/>
      <color theme="10"/>
      <name val="Aptos Narrow"/>
      <family val="2"/>
      <scheme val="minor"/>
    </font>
    <font>
      <b/>
      <sz val="13.5"/>
      <color rgb="FF000000"/>
      <name val="Aptos Narrow"/>
    </font>
    <font>
      <sz val="13.5"/>
      <color rgb="FF000000"/>
      <name val="Aptos Narrow"/>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1" fillId="0" borderId="0" applyFont="0" applyFill="0" applyBorder="0" applyAlignment="0" applyProtection="0"/>
    <xf numFmtId="0" fontId="14" fillId="6" borderId="0" applyNumberFormat="0" applyBorder="0" applyAlignment="0" applyProtection="0"/>
    <xf numFmtId="0" fontId="15" fillId="0" borderId="0" applyNumberFormat="0" applyFill="0" applyBorder="0" applyAlignment="0" applyProtection="0"/>
  </cellStyleXfs>
  <cellXfs count="42">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13" fillId="0" borderId="5" xfId="0" applyFont="1" applyBorder="1" applyAlignment="1">
      <alignment horizontal="right"/>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16" fillId="0" borderId="12" xfId="0" applyFont="1" applyBorder="1" applyAlignment="1">
      <alignment horizontal="right"/>
    </xf>
    <xf numFmtId="14" fontId="17" fillId="0" borderId="1" xfId="0" applyNumberFormat="1" applyFont="1" applyBorder="1"/>
    <xf numFmtId="0" fontId="17" fillId="0" borderId="12" xfId="0" applyFont="1" applyBorder="1" applyAlignment="1">
      <alignment horizontal="right"/>
    </xf>
    <xf numFmtId="0" fontId="17" fillId="0" borderId="12" xfId="0" applyFont="1" applyBorder="1"/>
    <xf numFmtId="9" fontId="16" fillId="0" borderId="12" xfId="0" applyNumberFormat="1" applyFont="1" applyBorder="1"/>
    <xf numFmtId="0" fontId="3" fillId="0" borderId="0" xfId="0" applyFont="1" applyAlignment="1">
      <alignment vertical="top"/>
    </xf>
    <xf numFmtId="0" fontId="7" fillId="3" borderId="11" xfId="0" applyFont="1" applyFill="1" applyBorder="1" applyAlignment="1">
      <alignment vertical="top"/>
    </xf>
    <xf numFmtId="0" fontId="3" fillId="0" borderId="5" xfId="0" applyFont="1" applyBorder="1" applyAlignment="1">
      <alignment vertical="top"/>
    </xf>
    <xf numFmtId="0" fontId="14" fillId="6" borderId="5" xfId="2" applyBorder="1" applyAlignment="1">
      <alignment vertical="top"/>
    </xf>
    <xf numFmtId="0" fontId="15" fillId="6" borderId="5" xfId="3" applyFill="1" applyBorder="1" applyAlignment="1">
      <alignment vertical="top"/>
    </xf>
  </cellXfs>
  <cellStyles count="4">
    <cellStyle name="Lien hypertexte" xfId="3" builtinId="8"/>
    <cellStyle name="Normal" xfId="0" builtinId="0"/>
    <cellStyle name="Pourcentage" xfId="1" builtinId="5"/>
    <cellStyle name="Satisfaisant" xfId="2" builtinId="26"/>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ssurance-maladie-digital/design-system-v3/pull/948" TargetMode="External"/><Relationship Id="rId2" Type="http://schemas.openxmlformats.org/officeDocument/2006/relationships/hyperlink" Target="https://github.com/assurance-maladie-digital/design-system-v3/pull/948" TargetMode="External"/><Relationship Id="rId1" Type="http://schemas.openxmlformats.org/officeDocument/2006/relationships/hyperlink" Target="https://github.com/assurance-maladie-digital/design-system-v3/pull/948" TargetMode="External"/><Relationship Id="rId4" Type="http://schemas.openxmlformats.org/officeDocument/2006/relationships/hyperlink" Target="https://github.com/assurance-maladie-digital/design-system-v3/pull/9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4"/>
  <sheetViews>
    <sheetView tabSelected="1" zoomScale="110" zoomScaleNormal="110" workbookViewId="0">
      <selection activeCell="F87" sqref="F87"/>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15.1640625" style="1" customWidth="1"/>
    <col min="6" max="6" width="61.5" style="37" bestFit="1" customWidth="1"/>
    <col min="7" max="16384" width="10.83203125" style="1"/>
  </cols>
  <sheetData>
    <row r="1" spans="1:6" ht="32" customHeight="1">
      <c r="A1" s="17" t="s">
        <v>244</v>
      </c>
      <c r="B1" s="17"/>
      <c r="C1" s="17"/>
      <c r="D1" s="17"/>
    </row>
    <row r="2" spans="1:6" ht="19">
      <c r="A2" s="22" t="s">
        <v>242</v>
      </c>
      <c r="B2" s="22"/>
      <c r="C2" s="22"/>
      <c r="D2" s="16" t="s">
        <v>243</v>
      </c>
      <c r="E2" s="32" t="s">
        <v>271</v>
      </c>
    </row>
    <row r="3" spans="1:6" ht="19">
      <c r="A3" s="18" t="s">
        <v>234</v>
      </c>
      <c r="B3" s="18"/>
      <c r="C3" s="18"/>
      <c r="D3" s="8">
        <v>45856</v>
      </c>
      <c r="E3" s="33">
        <v>45880</v>
      </c>
    </row>
    <row r="4" spans="1:6" ht="19">
      <c r="A4" s="19" t="s">
        <v>238</v>
      </c>
      <c r="B4" s="20"/>
      <c r="C4" s="21"/>
      <c r="D4" s="13" t="s">
        <v>245</v>
      </c>
      <c r="E4" s="34" t="s">
        <v>270</v>
      </c>
    </row>
    <row r="5" spans="1:6" ht="16" customHeight="1">
      <c r="A5" s="18" t="s">
        <v>230</v>
      </c>
      <c r="B5" s="18"/>
      <c r="C5" s="18"/>
      <c r="D5" s="9">
        <f xml:space="preserve"> COUNTIF($D$14:$D$119,"Conforme")</f>
        <v>10</v>
      </c>
      <c r="E5" s="35">
        <v>18</v>
      </c>
    </row>
    <row r="6" spans="1:6" ht="19">
      <c r="A6" s="18" t="s">
        <v>231</v>
      </c>
      <c r="B6" s="18"/>
      <c r="C6" s="18"/>
      <c r="D6" s="9">
        <f xml:space="preserve"> COUNTIF($D$14:$D$119,"Non conforme")</f>
        <v>8</v>
      </c>
      <c r="E6" s="35">
        <v>0</v>
      </c>
    </row>
    <row r="7" spans="1:6" ht="19">
      <c r="A7" s="18" t="s">
        <v>237</v>
      </c>
      <c r="B7" s="18"/>
      <c r="C7" s="18"/>
      <c r="D7" s="9">
        <f xml:space="preserve"> COUNTIF($D$14:$D$119,"Non applicable")</f>
        <v>88</v>
      </c>
      <c r="E7" s="35">
        <v>88</v>
      </c>
    </row>
    <row r="8" spans="1:6" ht="19">
      <c r="A8" s="18" t="s">
        <v>232</v>
      </c>
      <c r="B8" s="18"/>
      <c r="C8" s="18"/>
      <c r="D8" s="9">
        <f xml:space="preserve"> COUNTIF($D$14:$D$119,"Dérogé")</f>
        <v>0</v>
      </c>
      <c r="E8" s="35">
        <v>0</v>
      </c>
    </row>
    <row r="9" spans="1:6" ht="19">
      <c r="A9" s="18" t="s">
        <v>233</v>
      </c>
      <c r="B9" s="18"/>
      <c r="C9" s="18"/>
      <c r="D9" s="9">
        <f xml:space="preserve"> COUNTIF($D$14:$D$119,"Non testé")</f>
        <v>0</v>
      </c>
      <c r="E9" s="35">
        <v>0</v>
      </c>
    </row>
    <row r="10" spans="1:6" ht="19" customHeight="1">
      <c r="A10" s="23" t="s">
        <v>239</v>
      </c>
      <c r="B10" s="24"/>
      <c r="C10" s="25"/>
      <c r="D10" s="14">
        <f>IF(SUM(D5:D6)&gt;0,D5/SUM(D5:D6),"")</f>
        <v>0.55555555555555558</v>
      </c>
      <c r="E10" s="36">
        <v>1</v>
      </c>
    </row>
    <row r="11" spans="1:6" ht="19" customHeight="1">
      <c r="A11" s="23" t="s">
        <v>240</v>
      </c>
      <c r="B11" s="24"/>
      <c r="C11" s="25"/>
      <c r="D11" s="14">
        <f>IF(SUM(D5:D6)&gt;0,1-ROUND(D10,2),"")</f>
        <v>0.43999999999999995</v>
      </c>
      <c r="E11" s="36">
        <v>0</v>
      </c>
    </row>
    <row r="12" spans="1:6">
      <c r="A12" s="7"/>
      <c r="B12" s="7"/>
      <c r="C12" s="7"/>
    </row>
    <row r="13" spans="1:6" ht="19">
      <c r="A13" s="4" t="s">
        <v>0</v>
      </c>
      <c r="B13" s="4" t="s">
        <v>229</v>
      </c>
      <c r="C13" s="4" t="s">
        <v>1</v>
      </c>
      <c r="D13" s="4" t="s">
        <v>227</v>
      </c>
      <c r="E13" s="6" t="s">
        <v>228</v>
      </c>
      <c r="F13" s="38" t="s">
        <v>241</v>
      </c>
    </row>
    <row r="14" spans="1:6" ht="34">
      <c r="A14" s="26" t="s">
        <v>2</v>
      </c>
      <c r="B14" s="2" t="s">
        <v>3</v>
      </c>
      <c r="C14" s="3" t="s">
        <v>4</v>
      </c>
      <c r="D14" s="5" t="s">
        <v>248</v>
      </c>
      <c r="E14" s="11"/>
      <c r="F14" s="39"/>
    </row>
    <row r="15" spans="1:6" ht="34">
      <c r="A15" s="27"/>
      <c r="B15" s="2" t="s">
        <v>5</v>
      </c>
      <c r="C15" s="3" t="s">
        <v>6</v>
      </c>
      <c r="D15" s="5" t="s">
        <v>246</v>
      </c>
      <c r="E15" s="12" t="s">
        <v>249</v>
      </c>
      <c r="F15" s="40" t="s">
        <v>269</v>
      </c>
    </row>
    <row r="16" spans="1:6" ht="34">
      <c r="A16" s="27"/>
      <c r="B16" s="2" t="s">
        <v>7</v>
      </c>
      <c r="C16" s="3" t="s">
        <v>8</v>
      </c>
      <c r="D16" s="5" t="s">
        <v>248</v>
      </c>
      <c r="E16" s="11"/>
      <c r="F16" s="39"/>
    </row>
    <row r="17" spans="1:6" ht="51">
      <c r="A17" s="27"/>
      <c r="B17" s="2" t="s">
        <v>9</v>
      </c>
      <c r="C17" s="3" t="s">
        <v>10</v>
      </c>
      <c r="D17" s="5" t="s">
        <v>248</v>
      </c>
      <c r="E17" s="11"/>
      <c r="F17" s="39"/>
    </row>
    <row r="18" spans="1:6" ht="34">
      <c r="A18" s="27"/>
      <c r="B18" s="2" t="s">
        <v>11</v>
      </c>
      <c r="C18" s="3" t="s">
        <v>12</v>
      </c>
      <c r="D18" s="5" t="s">
        <v>248</v>
      </c>
      <c r="E18" s="11"/>
      <c r="F18" s="39"/>
    </row>
    <row r="19" spans="1:6" ht="34">
      <c r="A19" s="27"/>
      <c r="B19" s="2" t="s">
        <v>13</v>
      </c>
      <c r="C19" s="3" t="s">
        <v>14</v>
      </c>
      <c r="D19" s="5" t="s">
        <v>248</v>
      </c>
      <c r="E19" s="11"/>
      <c r="F19" s="39"/>
    </row>
    <row r="20" spans="1:6" ht="34">
      <c r="A20" s="27"/>
      <c r="B20" s="2" t="s">
        <v>15</v>
      </c>
      <c r="C20" s="3" t="s">
        <v>16</v>
      </c>
      <c r="D20" s="5" t="s">
        <v>248</v>
      </c>
      <c r="E20" s="11"/>
      <c r="F20" s="39"/>
    </row>
    <row r="21" spans="1:6" ht="51">
      <c r="A21" s="27"/>
      <c r="B21" s="2" t="s">
        <v>17</v>
      </c>
      <c r="C21" s="3" t="s">
        <v>18</v>
      </c>
      <c r="D21" s="5" t="s">
        <v>248</v>
      </c>
      <c r="E21" s="11"/>
      <c r="F21" s="39"/>
    </row>
    <row r="22" spans="1:6" ht="34">
      <c r="A22" s="28"/>
      <c r="B22" s="2" t="s">
        <v>19</v>
      </c>
      <c r="C22" s="3" t="s">
        <v>20</v>
      </c>
      <c r="D22" s="5" t="s">
        <v>248</v>
      </c>
      <c r="E22" s="11"/>
      <c r="F22" s="39"/>
    </row>
    <row r="23" spans="1:6" ht="19">
      <c r="A23" s="29" t="s">
        <v>21</v>
      </c>
      <c r="B23" s="2" t="s">
        <v>22</v>
      </c>
      <c r="C23" s="3" t="s">
        <v>23</v>
      </c>
      <c r="D23" s="5" t="s">
        <v>248</v>
      </c>
      <c r="E23" s="11"/>
      <c r="F23" s="39"/>
    </row>
    <row r="24" spans="1:6" ht="34">
      <c r="A24" s="28"/>
      <c r="B24" s="2" t="s">
        <v>24</v>
      </c>
      <c r="C24" s="3" t="s">
        <v>25</v>
      </c>
      <c r="D24" s="5" t="s">
        <v>248</v>
      </c>
      <c r="E24" s="11"/>
      <c r="F24" s="39"/>
    </row>
    <row r="25" spans="1:6" ht="34">
      <c r="A25" s="29" t="s">
        <v>26</v>
      </c>
      <c r="B25" s="2" t="s">
        <v>27</v>
      </c>
      <c r="C25" s="3" t="s">
        <v>28</v>
      </c>
      <c r="D25" s="5" t="s">
        <v>248</v>
      </c>
      <c r="E25" s="11"/>
      <c r="F25" s="39"/>
    </row>
    <row r="26" spans="1:6" ht="306">
      <c r="A26" s="27"/>
      <c r="B26" s="2" t="s">
        <v>29</v>
      </c>
      <c r="C26" s="3" t="s">
        <v>30</v>
      </c>
      <c r="D26" s="5" t="s">
        <v>252</v>
      </c>
      <c r="E26" s="12" t="s">
        <v>250</v>
      </c>
      <c r="F26" s="39"/>
    </row>
    <row r="27" spans="1:6" ht="409.6">
      <c r="A27" s="28"/>
      <c r="B27" s="2" t="s">
        <v>31</v>
      </c>
      <c r="C27" s="3" t="s">
        <v>32</v>
      </c>
      <c r="D27" s="5" t="s">
        <v>246</v>
      </c>
      <c r="E27" s="12" t="s">
        <v>251</v>
      </c>
      <c r="F27" s="40" t="s">
        <v>272</v>
      </c>
    </row>
    <row r="28" spans="1:6" ht="34">
      <c r="A28" s="29" t="s">
        <v>33</v>
      </c>
      <c r="B28" s="2" t="s">
        <v>34</v>
      </c>
      <c r="C28" s="3" t="s">
        <v>35</v>
      </c>
      <c r="D28" s="5" t="s">
        <v>248</v>
      </c>
      <c r="E28" s="11"/>
      <c r="F28" s="39"/>
    </row>
    <row r="29" spans="1:6" ht="51">
      <c r="A29" s="27"/>
      <c r="B29" s="2" t="s">
        <v>36</v>
      </c>
      <c r="C29" s="3" t="s">
        <v>37</v>
      </c>
      <c r="D29" s="5" t="s">
        <v>248</v>
      </c>
      <c r="E29" s="11"/>
      <c r="F29" s="39"/>
    </row>
    <row r="30" spans="1:6" ht="34">
      <c r="A30" s="27"/>
      <c r="B30" s="2" t="s">
        <v>38</v>
      </c>
      <c r="C30" s="3" t="s">
        <v>39</v>
      </c>
      <c r="D30" s="5" t="s">
        <v>248</v>
      </c>
      <c r="E30" s="11"/>
      <c r="F30" s="39"/>
    </row>
    <row r="31" spans="1:6" ht="34">
      <c r="A31" s="27"/>
      <c r="B31" s="2" t="s">
        <v>40</v>
      </c>
      <c r="C31" s="3" t="s">
        <v>41</v>
      </c>
      <c r="D31" s="5" t="s">
        <v>248</v>
      </c>
      <c r="E31" s="11"/>
      <c r="F31" s="39"/>
    </row>
    <row r="32" spans="1:6" ht="34">
      <c r="A32" s="27"/>
      <c r="B32" s="2" t="s">
        <v>42</v>
      </c>
      <c r="C32" s="3" t="s">
        <v>43</v>
      </c>
      <c r="D32" s="5" t="s">
        <v>248</v>
      </c>
      <c r="E32" s="11"/>
      <c r="F32" s="39"/>
    </row>
    <row r="33" spans="1:6" ht="34">
      <c r="A33" s="27"/>
      <c r="B33" s="2" t="s">
        <v>44</v>
      </c>
      <c r="C33" s="3" t="s">
        <v>45</v>
      </c>
      <c r="D33" s="5" t="s">
        <v>248</v>
      </c>
      <c r="E33" s="11"/>
      <c r="F33" s="39"/>
    </row>
    <row r="34" spans="1:6" ht="34">
      <c r="A34" s="27"/>
      <c r="B34" s="2" t="s">
        <v>46</v>
      </c>
      <c r="C34" s="3" t="s">
        <v>47</v>
      </c>
      <c r="D34" s="5" t="s">
        <v>248</v>
      </c>
      <c r="E34" s="11"/>
      <c r="F34" s="39"/>
    </row>
    <row r="35" spans="1:6" ht="34">
      <c r="A35" s="27"/>
      <c r="B35" s="2" t="s">
        <v>48</v>
      </c>
      <c r="C35" s="3" t="s">
        <v>49</v>
      </c>
      <c r="D35" s="5" t="s">
        <v>248</v>
      </c>
      <c r="E35" s="11"/>
      <c r="F35" s="39"/>
    </row>
    <row r="36" spans="1:6" ht="34">
      <c r="A36" s="27"/>
      <c r="B36" s="2" t="s">
        <v>50</v>
      </c>
      <c r="C36" s="3" t="s">
        <v>51</v>
      </c>
      <c r="D36" s="5" t="s">
        <v>248</v>
      </c>
      <c r="E36" s="11"/>
      <c r="F36" s="39"/>
    </row>
    <row r="37" spans="1:6" ht="34">
      <c r="A37" s="27"/>
      <c r="B37" s="2" t="s">
        <v>52</v>
      </c>
      <c r="C37" s="3" t="s">
        <v>53</v>
      </c>
      <c r="D37" s="5" t="s">
        <v>248</v>
      </c>
      <c r="E37" s="11"/>
      <c r="F37" s="39"/>
    </row>
    <row r="38" spans="1:6" ht="34">
      <c r="A38" s="27"/>
      <c r="B38" s="2" t="s">
        <v>54</v>
      </c>
      <c r="C38" s="3" t="s">
        <v>55</v>
      </c>
      <c r="D38" s="5" t="s">
        <v>248</v>
      </c>
      <c r="E38" s="11"/>
      <c r="F38" s="39"/>
    </row>
    <row r="39" spans="1:6" ht="34">
      <c r="A39" s="27"/>
      <c r="B39" s="2" t="s">
        <v>56</v>
      </c>
      <c r="C39" s="3" t="s">
        <v>57</v>
      </c>
      <c r="D39" s="5" t="s">
        <v>248</v>
      </c>
      <c r="E39" s="11"/>
      <c r="F39" s="39"/>
    </row>
    <row r="40" spans="1:6" ht="34">
      <c r="A40" s="28"/>
      <c r="B40" s="2" t="s">
        <v>58</v>
      </c>
      <c r="C40" s="3" t="s">
        <v>59</v>
      </c>
      <c r="D40" s="5" t="s">
        <v>248</v>
      </c>
      <c r="E40" s="11"/>
      <c r="F40" s="39"/>
    </row>
    <row r="41" spans="1:6" ht="19">
      <c r="A41" s="29" t="s">
        <v>60</v>
      </c>
      <c r="B41" s="2" t="s">
        <v>61</v>
      </c>
      <c r="C41" s="3" t="s">
        <v>62</v>
      </c>
      <c r="D41" s="5" t="s">
        <v>248</v>
      </c>
      <c r="E41" s="11"/>
      <c r="F41" s="39"/>
    </row>
    <row r="42" spans="1:6" ht="34">
      <c r="A42" s="27"/>
      <c r="B42" s="2" t="s">
        <v>63</v>
      </c>
      <c r="C42" s="3" t="s">
        <v>64</v>
      </c>
      <c r="D42" s="5" t="s">
        <v>248</v>
      </c>
      <c r="E42" s="11"/>
      <c r="F42" s="39"/>
    </row>
    <row r="43" spans="1:6" ht="34">
      <c r="A43" s="27"/>
      <c r="B43" s="2" t="s">
        <v>65</v>
      </c>
      <c r="C43" s="3" t="s">
        <v>66</v>
      </c>
      <c r="D43" s="5" t="s">
        <v>248</v>
      </c>
      <c r="E43" s="11"/>
      <c r="F43" s="39"/>
    </row>
    <row r="44" spans="1:6" ht="34">
      <c r="A44" s="27"/>
      <c r="B44" s="2" t="s">
        <v>67</v>
      </c>
      <c r="C44" s="3" t="s">
        <v>68</v>
      </c>
      <c r="D44" s="5" t="s">
        <v>248</v>
      </c>
      <c r="E44" s="11"/>
      <c r="F44" s="39"/>
    </row>
    <row r="45" spans="1:6" ht="19">
      <c r="A45" s="27"/>
      <c r="B45" s="2" t="s">
        <v>69</v>
      </c>
      <c r="C45" s="3" t="s">
        <v>70</v>
      </c>
      <c r="D45" s="5" t="s">
        <v>248</v>
      </c>
      <c r="E45" s="11"/>
      <c r="F45" s="39"/>
    </row>
    <row r="46" spans="1:6" ht="34">
      <c r="A46" s="27"/>
      <c r="B46" s="2" t="s">
        <v>71</v>
      </c>
      <c r="C46" s="3" t="s">
        <v>72</v>
      </c>
      <c r="D46" s="5" t="s">
        <v>248</v>
      </c>
      <c r="E46" s="11"/>
      <c r="F46" s="39"/>
    </row>
    <row r="47" spans="1:6" ht="51">
      <c r="A47" s="27"/>
      <c r="B47" s="2" t="s">
        <v>73</v>
      </c>
      <c r="C47" s="3" t="s">
        <v>74</v>
      </c>
      <c r="D47" s="5" t="s">
        <v>248</v>
      </c>
      <c r="E47" s="11"/>
      <c r="F47" s="39"/>
    </row>
    <row r="48" spans="1:6" ht="34">
      <c r="A48" s="28"/>
      <c r="B48" s="2" t="s">
        <v>75</v>
      </c>
      <c r="C48" s="3" t="s">
        <v>76</v>
      </c>
      <c r="D48" s="5" t="s">
        <v>248</v>
      </c>
      <c r="E48" s="11"/>
      <c r="F48" s="39"/>
    </row>
    <row r="49" spans="1:6" ht="19">
      <c r="A49" s="29" t="s">
        <v>77</v>
      </c>
      <c r="B49" s="2" t="s">
        <v>78</v>
      </c>
      <c r="C49" s="3" t="s">
        <v>79</v>
      </c>
      <c r="D49" s="5" t="s">
        <v>248</v>
      </c>
      <c r="E49" s="11"/>
      <c r="F49" s="39"/>
    </row>
    <row r="50" spans="1:6" ht="19">
      <c r="A50" s="28"/>
      <c r="B50" s="2" t="s">
        <v>80</v>
      </c>
      <c r="C50" s="3" t="s">
        <v>81</v>
      </c>
      <c r="D50" s="5" t="s">
        <v>248</v>
      </c>
      <c r="E50" s="11"/>
      <c r="F50" s="39"/>
    </row>
    <row r="51" spans="1:6" ht="187">
      <c r="A51" s="29" t="s">
        <v>82</v>
      </c>
      <c r="B51" s="2" t="s">
        <v>83</v>
      </c>
      <c r="C51" s="3" t="s">
        <v>84</v>
      </c>
      <c r="D51" s="5" t="s">
        <v>246</v>
      </c>
      <c r="E51" s="11" t="s">
        <v>268</v>
      </c>
      <c r="F51" s="41" t="s">
        <v>273</v>
      </c>
    </row>
    <row r="52" spans="1:6" ht="34">
      <c r="A52" s="27"/>
      <c r="B52" s="2" t="s">
        <v>85</v>
      </c>
      <c r="C52" s="3" t="s">
        <v>86</v>
      </c>
      <c r="D52" s="5" t="s">
        <v>248</v>
      </c>
      <c r="E52" s="11"/>
      <c r="F52" s="39"/>
    </row>
    <row r="53" spans="1:6" ht="34">
      <c r="A53" s="27"/>
      <c r="B53" s="2" t="s">
        <v>87</v>
      </c>
      <c r="C53" s="3" t="s">
        <v>88</v>
      </c>
      <c r="D53" s="5" t="s">
        <v>248</v>
      </c>
      <c r="E53" s="11"/>
      <c r="F53" s="39"/>
    </row>
    <row r="54" spans="1:6" ht="34">
      <c r="A54" s="27"/>
      <c r="B54" s="2" t="s">
        <v>89</v>
      </c>
      <c r="C54" s="3" t="s">
        <v>90</v>
      </c>
      <c r="D54" s="5" t="s">
        <v>248</v>
      </c>
      <c r="E54" s="11"/>
      <c r="F54" s="39"/>
    </row>
    <row r="55" spans="1:6" ht="34">
      <c r="A55" s="28"/>
      <c r="B55" s="2" t="s">
        <v>91</v>
      </c>
      <c r="C55" s="3" t="s">
        <v>92</v>
      </c>
      <c r="D55" s="5" t="s">
        <v>248</v>
      </c>
      <c r="E55" s="11"/>
      <c r="F55" s="39"/>
    </row>
    <row r="56" spans="1:6" ht="19">
      <c r="A56" s="29" t="s">
        <v>93</v>
      </c>
      <c r="B56" s="2" t="s">
        <v>94</v>
      </c>
      <c r="C56" s="3" t="s">
        <v>95</v>
      </c>
      <c r="D56" s="5" t="s">
        <v>248</v>
      </c>
      <c r="E56" s="11"/>
      <c r="F56" s="39"/>
    </row>
    <row r="57" spans="1:6" ht="51">
      <c r="A57" s="27"/>
      <c r="B57" s="2" t="s">
        <v>96</v>
      </c>
      <c r="C57" s="3" t="s">
        <v>97</v>
      </c>
      <c r="D57" s="5" t="s">
        <v>246</v>
      </c>
      <c r="E57" s="11" t="s">
        <v>254</v>
      </c>
      <c r="F57" s="41" t="s">
        <v>273</v>
      </c>
    </row>
    <row r="58" spans="1:6" ht="19">
      <c r="A58" s="27"/>
      <c r="B58" s="2" t="s">
        <v>98</v>
      </c>
      <c r="C58" s="3" t="s">
        <v>99</v>
      </c>
      <c r="D58" s="5" t="s">
        <v>248</v>
      </c>
      <c r="E58" s="11"/>
      <c r="F58" s="39"/>
    </row>
    <row r="59" spans="1:6" ht="34">
      <c r="A59" s="27"/>
      <c r="B59" s="2" t="s">
        <v>100</v>
      </c>
      <c r="C59" s="3" t="s">
        <v>101</v>
      </c>
      <c r="D59" s="5" t="s">
        <v>248</v>
      </c>
      <c r="E59" s="11"/>
      <c r="F59" s="39"/>
    </row>
    <row r="60" spans="1:6" ht="19">
      <c r="A60" s="27"/>
      <c r="B60" s="2" t="s">
        <v>102</v>
      </c>
      <c r="C60" s="3" t="s">
        <v>103</v>
      </c>
      <c r="D60" s="5" t="s">
        <v>248</v>
      </c>
      <c r="E60" s="11"/>
      <c r="F60" s="39"/>
    </row>
    <row r="61" spans="1:6" ht="19">
      <c r="A61" s="27"/>
      <c r="B61" s="2" t="s">
        <v>104</v>
      </c>
      <c r="C61" s="3" t="s">
        <v>105</v>
      </c>
      <c r="D61" s="5" t="s">
        <v>248</v>
      </c>
      <c r="E61" s="11"/>
      <c r="F61" s="39"/>
    </row>
    <row r="62" spans="1:6" ht="34">
      <c r="A62" s="27"/>
      <c r="B62" s="2" t="s">
        <v>106</v>
      </c>
      <c r="C62" s="3" t="s">
        <v>107</v>
      </c>
      <c r="D62" s="5" t="s">
        <v>248</v>
      </c>
      <c r="E62" s="11"/>
      <c r="F62" s="39"/>
    </row>
    <row r="63" spans="1:6" ht="34">
      <c r="A63" s="27"/>
      <c r="B63" s="2" t="s">
        <v>108</v>
      </c>
      <c r="C63" s="3" t="s">
        <v>109</v>
      </c>
      <c r="D63" s="5" t="s">
        <v>248</v>
      </c>
      <c r="E63" s="11"/>
      <c r="F63" s="39"/>
    </row>
    <row r="64" spans="1:6" ht="34">
      <c r="A64" s="27"/>
      <c r="B64" s="2" t="s">
        <v>110</v>
      </c>
      <c r="C64" s="3" t="s">
        <v>111</v>
      </c>
      <c r="D64" s="5" t="s">
        <v>248</v>
      </c>
      <c r="E64" s="11"/>
      <c r="F64" s="39"/>
    </row>
    <row r="65" spans="1:6" ht="34">
      <c r="A65" s="28"/>
      <c r="B65" s="2" t="s">
        <v>112</v>
      </c>
      <c r="C65" s="3" t="s">
        <v>113</v>
      </c>
      <c r="D65" s="5" t="s">
        <v>248</v>
      </c>
      <c r="E65" s="11"/>
      <c r="F65" s="39"/>
    </row>
    <row r="66" spans="1:6" ht="34">
      <c r="A66" s="29" t="s">
        <v>114</v>
      </c>
      <c r="B66" s="2" t="s">
        <v>115</v>
      </c>
      <c r="C66" s="3" t="s">
        <v>116</v>
      </c>
      <c r="D66" s="5" t="s">
        <v>248</v>
      </c>
      <c r="E66" s="11"/>
      <c r="F66" s="39"/>
    </row>
    <row r="67" spans="1:6" ht="34">
      <c r="A67" s="27"/>
      <c r="B67" s="2" t="s">
        <v>117</v>
      </c>
      <c r="C67" s="3" t="s">
        <v>118</v>
      </c>
      <c r="D67" s="5" t="s">
        <v>248</v>
      </c>
      <c r="E67" s="11"/>
      <c r="F67" s="39"/>
    </row>
    <row r="68" spans="1:6" ht="34">
      <c r="A68" s="27"/>
      <c r="B68" s="2" t="s">
        <v>119</v>
      </c>
      <c r="C68" s="3" t="s">
        <v>120</v>
      </c>
      <c r="D68" s="5" t="s">
        <v>246</v>
      </c>
      <c r="E68" s="11" t="s">
        <v>253</v>
      </c>
      <c r="F68" s="41" t="s">
        <v>273</v>
      </c>
    </row>
    <row r="69" spans="1:6" ht="34">
      <c r="A69" s="28"/>
      <c r="B69" s="2" t="s">
        <v>121</v>
      </c>
      <c r="C69" s="3" t="s">
        <v>122</v>
      </c>
      <c r="D69" s="5" t="s">
        <v>248</v>
      </c>
      <c r="E69" s="11"/>
      <c r="F69" s="39"/>
    </row>
    <row r="70" spans="1:6" ht="51">
      <c r="A70" s="29" t="s">
        <v>123</v>
      </c>
      <c r="B70" s="2" t="s">
        <v>124</v>
      </c>
      <c r="C70" s="3" t="s">
        <v>125</v>
      </c>
      <c r="D70" s="5" t="s">
        <v>252</v>
      </c>
      <c r="E70" s="11" t="s">
        <v>258</v>
      </c>
      <c r="F70" s="39"/>
    </row>
    <row r="71" spans="1:6" ht="34">
      <c r="A71" s="27"/>
      <c r="B71" s="2" t="s">
        <v>126</v>
      </c>
      <c r="C71" s="3" t="s">
        <v>127</v>
      </c>
      <c r="D71" s="5" t="s">
        <v>252</v>
      </c>
      <c r="E71" s="11" t="s">
        <v>260</v>
      </c>
      <c r="F71" s="39"/>
    </row>
    <row r="72" spans="1:6" ht="34">
      <c r="A72" s="27"/>
      <c r="B72" s="2" t="s">
        <v>128</v>
      </c>
      <c r="C72" s="3" t="s">
        <v>129</v>
      </c>
      <c r="D72" s="5" t="s">
        <v>252</v>
      </c>
      <c r="E72" s="11" t="s">
        <v>259</v>
      </c>
      <c r="F72" s="39"/>
    </row>
    <row r="73" spans="1:6" ht="51">
      <c r="A73" s="27"/>
      <c r="B73" s="2" t="s">
        <v>130</v>
      </c>
      <c r="C73" s="3" t="s">
        <v>131</v>
      </c>
      <c r="D73" s="5" t="s">
        <v>246</v>
      </c>
      <c r="E73" s="11" t="s">
        <v>261</v>
      </c>
      <c r="F73" s="41" t="s">
        <v>273</v>
      </c>
    </row>
    <row r="74" spans="1:6" ht="51">
      <c r="A74" s="27"/>
      <c r="B74" s="2" t="s">
        <v>132</v>
      </c>
      <c r="C74" s="3" t="s">
        <v>133</v>
      </c>
      <c r="D74" s="5" t="s">
        <v>252</v>
      </c>
      <c r="E74" s="11" t="s">
        <v>262</v>
      </c>
      <c r="F74" s="39"/>
    </row>
    <row r="75" spans="1:6" ht="34">
      <c r="A75" s="27"/>
      <c r="B75" s="2" t="s">
        <v>134</v>
      </c>
      <c r="C75" s="3" t="s">
        <v>135</v>
      </c>
      <c r="D75" s="5" t="s">
        <v>248</v>
      </c>
      <c r="E75" s="11"/>
      <c r="F75" s="39"/>
    </row>
    <row r="76" spans="1:6" ht="34">
      <c r="A76" s="27"/>
      <c r="B76" s="2" t="s">
        <v>136</v>
      </c>
      <c r="C76" s="3" t="s">
        <v>137</v>
      </c>
      <c r="D76" s="5" t="s">
        <v>246</v>
      </c>
      <c r="E76" s="11" t="s">
        <v>247</v>
      </c>
      <c r="F76" s="40" t="s">
        <v>274</v>
      </c>
    </row>
    <row r="77" spans="1:6" ht="34">
      <c r="A77" s="27"/>
      <c r="B77" s="2" t="s">
        <v>138</v>
      </c>
      <c r="C77" s="3" t="s">
        <v>139</v>
      </c>
      <c r="D77" s="5" t="s">
        <v>248</v>
      </c>
      <c r="E77" s="11"/>
      <c r="F77" s="39"/>
    </row>
    <row r="78" spans="1:6" ht="51">
      <c r="A78" s="27"/>
      <c r="B78" s="2" t="s">
        <v>140</v>
      </c>
      <c r="C78" s="3" t="s">
        <v>141</v>
      </c>
      <c r="D78" s="5" t="s">
        <v>252</v>
      </c>
      <c r="E78" s="11" t="s">
        <v>263</v>
      </c>
      <c r="F78" s="39"/>
    </row>
    <row r="79" spans="1:6" ht="51">
      <c r="A79" s="27"/>
      <c r="B79" s="2" t="s">
        <v>142</v>
      </c>
      <c r="C79" s="3" t="s">
        <v>143</v>
      </c>
      <c r="D79" s="5" t="s">
        <v>246</v>
      </c>
      <c r="E79" s="11" t="s">
        <v>264</v>
      </c>
      <c r="F79" s="40" t="s">
        <v>274</v>
      </c>
    </row>
    <row r="80" spans="1:6" ht="85">
      <c r="A80" s="27"/>
      <c r="B80" s="2" t="s">
        <v>144</v>
      </c>
      <c r="C80" s="3" t="s">
        <v>145</v>
      </c>
      <c r="D80" s="5" t="s">
        <v>252</v>
      </c>
      <c r="E80" s="11" t="s">
        <v>265</v>
      </c>
      <c r="F80" s="39"/>
    </row>
    <row r="81" spans="1:6" ht="119">
      <c r="A81" s="27"/>
      <c r="B81" s="2" t="s">
        <v>146</v>
      </c>
      <c r="C81" s="3" t="s">
        <v>147</v>
      </c>
      <c r="D81" s="5" t="s">
        <v>252</v>
      </c>
      <c r="E81" s="11" t="s">
        <v>257</v>
      </c>
      <c r="F81" s="39"/>
    </row>
    <row r="82" spans="1:6" ht="51">
      <c r="A82" s="27"/>
      <c r="B82" s="2" t="s">
        <v>148</v>
      </c>
      <c r="C82" s="3" t="s">
        <v>149</v>
      </c>
      <c r="D82" s="5" t="s">
        <v>248</v>
      </c>
      <c r="E82" s="11"/>
      <c r="F82" s="39"/>
    </row>
    <row r="83" spans="1:6" ht="51">
      <c r="A83" s="28"/>
      <c r="B83" s="2" t="s">
        <v>150</v>
      </c>
      <c r="C83" s="3" t="s">
        <v>151</v>
      </c>
      <c r="D83" s="5" t="s">
        <v>248</v>
      </c>
      <c r="E83" s="11"/>
      <c r="F83" s="39"/>
    </row>
    <row r="84" spans="1:6" ht="19">
      <c r="A84" s="29" t="s">
        <v>152</v>
      </c>
      <c r="B84" s="2" t="s">
        <v>153</v>
      </c>
      <c r="C84" s="3" t="s">
        <v>154</v>
      </c>
      <c r="D84" s="5" t="s">
        <v>248</v>
      </c>
      <c r="E84" s="11"/>
      <c r="F84" s="39"/>
    </row>
    <row r="85" spans="1:6" ht="34">
      <c r="A85" s="27"/>
      <c r="B85" s="2" t="s">
        <v>155</v>
      </c>
      <c r="C85" s="3" t="s">
        <v>156</v>
      </c>
      <c r="D85" s="5" t="s">
        <v>248</v>
      </c>
      <c r="E85" s="11"/>
      <c r="F85" s="39"/>
    </row>
    <row r="86" spans="1:6" ht="51">
      <c r="A86" s="27"/>
      <c r="B86" s="2" t="s">
        <v>157</v>
      </c>
      <c r="C86" s="3" t="s">
        <v>158</v>
      </c>
      <c r="D86" s="5" t="s">
        <v>248</v>
      </c>
      <c r="E86" s="11"/>
      <c r="F86" s="39"/>
    </row>
    <row r="87" spans="1:6" ht="34">
      <c r="A87" s="27"/>
      <c r="B87" s="2" t="s">
        <v>159</v>
      </c>
      <c r="C87" s="3" t="s">
        <v>160</v>
      </c>
      <c r="D87" s="5" t="s">
        <v>248</v>
      </c>
      <c r="E87" s="11"/>
      <c r="F87" s="39"/>
    </row>
    <row r="88" spans="1:6" ht="34">
      <c r="A88" s="27"/>
      <c r="B88" s="2" t="s">
        <v>161</v>
      </c>
      <c r="C88" s="3" t="s">
        <v>162</v>
      </c>
      <c r="D88" s="5" t="s">
        <v>248</v>
      </c>
      <c r="E88" s="11"/>
      <c r="F88" s="39"/>
    </row>
    <row r="89" spans="1:6" ht="34">
      <c r="A89" s="27"/>
      <c r="B89" s="2" t="s">
        <v>163</v>
      </c>
      <c r="C89" s="3" t="s">
        <v>164</v>
      </c>
      <c r="D89" s="5" t="s">
        <v>248</v>
      </c>
      <c r="E89" s="11"/>
      <c r="F89" s="39"/>
    </row>
    <row r="90" spans="1:6" ht="34">
      <c r="A90" s="27"/>
      <c r="B90" s="2" t="s">
        <v>165</v>
      </c>
      <c r="C90" s="3" t="s">
        <v>166</v>
      </c>
      <c r="D90" s="5" t="s">
        <v>248</v>
      </c>
      <c r="E90" s="11"/>
      <c r="F90" s="39"/>
    </row>
    <row r="91" spans="1:6" ht="34">
      <c r="A91" s="27"/>
      <c r="B91" s="2" t="s">
        <v>167</v>
      </c>
      <c r="C91" s="3" t="s">
        <v>168</v>
      </c>
      <c r="D91" s="5" t="s">
        <v>248</v>
      </c>
      <c r="E91" s="11"/>
      <c r="F91" s="39"/>
    </row>
    <row r="92" spans="1:6" ht="34">
      <c r="A92" s="27"/>
      <c r="B92" s="2" t="s">
        <v>169</v>
      </c>
      <c r="C92" s="3" t="s">
        <v>170</v>
      </c>
      <c r="D92" s="5" t="s">
        <v>248</v>
      </c>
      <c r="E92" s="11"/>
      <c r="F92" s="39"/>
    </row>
    <row r="93" spans="1:6" ht="34">
      <c r="A93" s="27"/>
      <c r="B93" s="2" t="s">
        <v>171</v>
      </c>
      <c r="C93" s="3" t="s">
        <v>172</v>
      </c>
      <c r="D93" s="5" t="s">
        <v>248</v>
      </c>
      <c r="E93" s="11"/>
      <c r="F93" s="39"/>
    </row>
    <row r="94" spans="1:6" ht="34">
      <c r="A94" s="27"/>
      <c r="B94" s="2" t="s">
        <v>173</v>
      </c>
      <c r="C94" s="3" t="s">
        <v>174</v>
      </c>
      <c r="D94" s="5" t="s">
        <v>248</v>
      </c>
      <c r="E94" s="11"/>
      <c r="F94" s="39"/>
    </row>
    <row r="95" spans="1:6" ht="85">
      <c r="A95" s="27"/>
      <c r="B95" s="2" t="s">
        <v>175</v>
      </c>
      <c r="C95" s="3" t="s">
        <v>176</v>
      </c>
      <c r="D95" s="5" t="s">
        <v>248</v>
      </c>
      <c r="E95" s="11"/>
      <c r="F95" s="39"/>
    </row>
    <row r="96" spans="1:6" ht="34">
      <c r="A96" s="28"/>
      <c r="B96" s="2" t="s">
        <v>177</v>
      </c>
      <c r="C96" s="3" t="s">
        <v>178</v>
      </c>
      <c r="D96" s="5" t="s">
        <v>248</v>
      </c>
      <c r="E96" s="11"/>
      <c r="F96" s="39"/>
    </row>
    <row r="97" spans="1:6" ht="34">
      <c r="A97" s="29" t="s">
        <v>179</v>
      </c>
      <c r="B97" s="2" t="s">
        <v>180</v>
      </c>
      <c r="C97" s="3" t="s">
        <v>181</v>
      </c>
      <c r="D97" s="5" t="s">
        <v>248</v>
      </c>
      <c r="E97" s="11"/>
      <c r="F97" s="39"/>
    </row>
    <row r="98" spans="1:6" ht="34">
      <c r="A98" s="27"/>
      <c r="B98" s="2" t="s">
        <v>182</v>
      </c>
      <c r="C98" s="3" t="s">
        <v>183</v>
      </c>
      <c r="D98" s="5" t="s">
        <v>248</v>
      </c>
      <c r="E98" s="11"/>
      <c r="F98" s="39"/>
    </row>
    <row r="99" spans="1:6" ht="19">
      <c r="A99" s="27"/>
      <c r="B99" s="2" t="s">
        <v>184</v>
      </c>
      <c r="C99" s="3" t="s">
        <v>185</v>
      </c>
      <c r="D99" s="5" t="s">
        <v>248</v>
      </c>
      <c r="E99" s="11"/>
      <c r="F99" s="39"/>
    </row>
    <row r="100" spans="1:6" ht="34">
      <c r="A100" s="27"/>
      <c r="B100" s="2" t="s">
        <v>186</v>
      </c>
      <c r="C100" s="3" t="s">
        <v>187</v>
      </c>
      <c r="D100" s="5" t="s">
        <v>248</v>
      </c>
      <c r="E100" s="11"/>
      <c r="F100" s="39"/>
    </row>
    <row r="101" spans="1:6" ht="34">
      <c r="A101" s="27"/>
      <c r="B101" s="2" t="s">
        <v>188</v>
      </c>
      <c r="C101" s="3" t="s">
        <v>189</v>
      </c>
      <c r="D101" s="5" t="s">
        <v>248</v>
      </c>
      <c r="E101" s="11"/>
      <c r="F101" s="39"/>
    </row>
    <row r="102" spans="1:6" ht="68">
      <c r="A102" s="27"/>
      <c r="B102" s="2" t="s">
        <v>190</v>
      </c>
      <c r="C102" s="3" t="s">
        <v>191</v>
      </c>
      <c r="D102" s="5" t="s">
        <v>248</v>
      </c>
      <c r="E102" s="11"/>
      <c r="F102" s="39"/>
    </row>
    <row r="103" spans="1:6" ht="34">
      <c r="A103" s="27"/>
      <c r="B103" s="2" t="s">
        <v>192</v>
      </c>
      <c r="C103" s="3" t="s">
        <v>193</v>
      </c>
      <c r="D103" s="5" t="s">
        <v>248</v>
      </c>
      <c r="E103" s="11"/>
      <c r="F103" s="39"/>
    </row>
    <row r="104" spans="1:6" ht="34">
      <c r="A104" s="27"/>
      <c r="B104" s="2" t="s">
        <v>194</v>
      </c>
      <c r="C104" s="3" t="s">
        <v>195</v>
      </c>
      <c r="D104" s="5" t="s">
        <v>252</v>
      </c>
      <c r="E104" s="11" t="s">
        <v>256</v>
      </c>
      <c r="F104" s="39"/>
    </row>
    <row r="105" spans="1:6" ht="34">
      <c r="A105" s="27"/>
      <c r="B105" s="2" t="s">
        <v>196</v>
      </c>
      <c r="C105" s="3" t="s">
        <v>197</v>
      </c>
      <c r="D105" s="5" t="s">
        <v>252</v>
      </c>
      <c r="E105" s="11" t="s">
        <v>255</v>
      </c>
      <c r="F105" s="39"/>
    </row>
    <row r="106" spans="1:6" ht="51">
      <c r="A106" s="27"/>
      <c r="B106" s="2" t="s">
        <v>198</v>
      </c>
      <c r="C106" s="3" t="s">
        <v>199</v>
      </c>
      <c r="D106" s="5" t="s">
        <v>248</v>
      </c>
      <c r="E106" s="11"/>
      <c r="F106" s="39"/>
    </row>
    <row r="107" spans="1:6" ht="51">
      <c r="A107" s="28"/>
      <c r="B107" s="2" t="s">
        <v>200</v>
      </c>
      <c r="C107" s="3" t="s">
        <v>201</v>
      </c>
      <c r="D107" s="5" t="s">
        <v>248</v>
      </c>
      <c r="E107" s="11"/>
      <c r="F107" s="39"/>
    </row>
    <row r="108" spans="1:6" ht="34">
      <c r="A108" s="29" t="s">
        <v>202</v>
      </c>
      <c r="B108" s="2" t="s">
        <v>203</v>
      </c>
      <c r="C108" s="3" t="s">
        <v>204</v>
      </c>
      <c r="D108" s="5" t="s">
        <v>248</v>
      </c>
      <c r="E108" s="11"/>
      <c r="F108" s="39"/>
    </row>
    <row r="109" spans="1:6" ht="51">
      <c r="A109" s="27"/>
      <c r="B109" s="2" t="s">
        <v>205</v>
      </c>
      <c r="C109" s="3" t="s">
        <v>206</v>
      </c>
      <c r="D109" s="5" t="s">
        <v>248</v>
      </c>
      <c r="E109" s="11"/>
      <c r="F109" s="39"/>
    </row>
    <row r="110" spans="1:6" ht="51">
      <c r="A110" s="27"/>
      <c r="B110" s="2" t="s">
        <v>207</v>
      </c>
      <c r="C110" s="3" t="s">
        <v>208</v>
      </c>
      <c r="D110" s="5" t="s">
        <v>248</v>
      </c>
      <c r="E110" s="11"/>
      <c r="F110" s="39"/>
    </row>
    <row r="111" spans="1:6" ht="34">
      <c r="A111" s="27"/>
      <c r="B111" s="2" t="s">
        <v>209</v>
      </c>
      <c r="C111" s="3" t="s">
        <v>210</v>
      </c>
      <c r="D111" s="5" t="s">
        <v>248</v>
      </c>
      <c r="E111" s="11"/>
      <c r="F111" s="39"/>
    </row>
    <row r="112" spans="1:6" ht="34">
      <c r="A112" s="27"/>
      <c r="B112" s="2" t="s">
        <v>211</v>
      </c>
      <c r="C112" s="3" t="s">
        <v>212</v>
      </c>
      <c r="D112" s="5" t="s">
        <v>248</v>
      </c>
      <c r="E112" s="11"/>
      <c r="F112" s="39"/>
    </row>
    <row r="113" spans="1:6" ht="51">
      <c r="A113" s="27"/>
      <c r="B113" s="2" t="s">
        <v>213</v>
      </c>
      <c r="C113" s="3" t="s">
        <v>214</v>
      </c>
      <c r="D113" s="5" t="s">
        <v>248</v>
      </c>
      <c r="E113" s="11"/>
      <c r="F113" s="39"/>
    </row>
    <row r="114" spans="1:6" ht="34">
      <c r="A114" s="27"/>
      <c r="B114" s="2" t="s">
        <v>215</v>
      </c>
      <c r="C114" s="3" t="s">
        <v>216</v>
      </c>
      <c r="D114" s="5" t="s">
        <v>248</v>
      </c>
      <c r="E114" s="11"/>
      <c r="F114" s="39"/>
    </row>
    <row r="115" spans="1:6" ht="34">
      <c r="A115" s="27"/>
      <c r="B115" s="2" t="s">
        <v>217</v>
      </c>
      <c r="C115" s="3" t="s">
        <v>218</v>
      </c>
      <c r="D115" s="5" t="s">
        <v>248</v>
      </c>
      <c r="E115" s="11"/>
      <c r="F115" s="39"/>
    </row>
    <row r="116" spans="1:6" ht="34">
      <c r="A116" s="27"/>
      <c r="B116" s="2" t="s">
        <v>219</v>
      </c>
      <c r="C116" s="3" t="s">
        <v>220</v>
      </c>
      <c r="D116" s="5" t="s">
        <v>248</v>
      </c>
      <c r="E116" s="11"/>
      <c r="F116" s="39"/>
    </row>
    <row r="117" spans="1:6" ht="51">
      <c r="A117" s="27"/>
      <c r="B117" s="2" t="s">
        <v>221</v>
      </c>
      <c r="C117" s="3" t="s">
        <v>222</v>
      </c>
      <c r="D117" s="5" t="s">
        <v>248</v>
      </c>
      <c r="E117" s="11"/>
      <c r="F117" s="39"/>
    </row>
    <row r="118" spans="1:6" ht="51">
      <c r="A118" s="27"/>
      <c r="B118" s="2" t="s">
        <v>223</v>
      </c>
      <c r="C118" s="3" t="s">
        <v>224</v>
      </c>
      <c r="D118" s="5" t="s">
        <v>248</v>
      </c>
      <c r="E118" s="11"/>
      <c r="F118" s="39"/>
    </row>
    <row r="119" spans="1:6" ht="51">
      <c r="A119" s="28"/>
      <c r="B119" s="2" t="s">
        <v>225</v>
      </c>
      <c r="C119" s="3" t="s">
        <v>226</v>
      </c>
      <c r="D119" s="5" t="s">
        <v>248</v>
      </c>
      <c r="E119" s="11"/>
      <c r="F119" s="39"/>
    </row>
    <row r="123" spans="1:6">
      <c r="A123" s="30" t="s">
        <v>235</v>
      </c>
      <c r="B123" s="30"/>
      <c r="C123" s="30"/>
      <c r="D123" s="30"/>
      <c r="E123" s="10" t="s">
        <v>236</v>
      </c>
    </row>
    <row r="124" spans="1:6">
      <c r="A124" s="31" t="s">
        <v>266</v>
      </c>
      <c r="B124" s="31"/>
      <c r="C124" s="31"/>
      <c r="D124" s="31"/>
      <c r="E124" s="15" t="s">
        <v>267</v>
      </c>
    </row>
  </sheetData>
  <mergeCells count="26">
    <mergeCell ref="A28:A40"/>
    <mergeCell ref="A11:C11"/>
    <mergeCell ref="A41:A48"/>
    <mergeCell ref="A123:D123"/>
    <mergeCell ref="A124:D124"/>
    <mergeCell ref="A97:A107"/>
    <mergeCell ref="A108:A119"/>
    <mergeCell ref="A49:A50"/>
    <mergeCell ref="A51:A55"/>
    <mergeCell ref="A56:A65"/>
    <mergeCell ref="A66:A69"/>
    <mergeCell ref="A70:A83"/>
    <mergeCell ref="A84:A96"/>
    <mergeCell ref="A10:C10"/>
    <mergeCell ref="A7:C7"/>
    <mergeCell ref="A14:A22"/>
    <mergeCell ref="A23:A24"/>
    <mergeCell ref="A25:A27"/>
    <mergeCell ref="A1:D1"/>
    <mergeCell ref="A5:C5"/>
    <mergeCell ref="A6:C6"/>
    <mergeCell ref="A8:C8"/>
    <mergeCell ref="A9:C9"/>
    <mergeCell ref="A3:C3"/>
    <mergeCell ref="A4:C4"/>
    <mergeCell ref="A2:C2"/>
  </mergeCells>
  <conditionalFormatting sqref="D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00000000-0002-0000-0200-000001000000}"/>
  </dataValidations>
  <hyperlinks>
    <hyperlink ref="F51" r:id="rId1" xr:uid="{60131C7F-3B3C-CD45-B8C0-E323FC590376}"/>
    <hyperlink ref="F57" r:id="rId2" xr:uid="{7AF78B67-82E4-E348-BD89-906F48C9D735}"/>
    <hyperlink ref="F68" r:id="rId3" xr:uid="{49D68C1A-2D8C-9B4D-83F3-B4FCC634032A}"/>
    <hyperlink ref="F73" r:id="rId4" xr:uid="{A96ABF7F-0B2D-C248-8E6C-AC274C62D755}"/>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ChipList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David FYON</cp:lastModifiedBy>
  <dcterms:created xsi:type="dcterms:W3CDTF">2025-03-05T16:22:31Z</dcterms:created>
  <dcterms:modified xsi:type="dcterms:W3CDTF">2025-08-12T11:28:35Z</dcterms:modified>
</cp:coreProperties>
</file>
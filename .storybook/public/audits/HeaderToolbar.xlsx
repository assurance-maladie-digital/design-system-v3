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davidfyon/Desktop/"/>
    </mc:Choice>
  </mc:AlternateContent>
  <xr:revisionPtr revIDLastSave="0" documentId="8_{375A80CB-CA48-014A-BD78-324FD6CD9912}" xr6:coauthVersionLast="47" xr6:coauthVersionMax="47" xr10:uidLastSave="{00000000-0000-0000-0000-000000000000}"/>
  <bookViews>
    <workbookView xWindow="2600" yWindow="1700" windowWidth="43260" windowHeight="25040" xr2:uid="{00000000-000D-0000-FFFF-FFFF00000000}"/>
  </bookViews>
  <sheets>
    <sheet name="HeaderToolbar"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5" l="1"/>
  <c r="D8" i="5"/>
  <c r="D7" i="5"/>
  <c r="D6" i="5"/>
  <c r="D5" i="5"/>
  <c r="D10" i="5" l="1"/>
  <c r="D11" i="5" s="1"/>
</calcChain>
</file>

<file path=xl/sharedStrings.xml><?xml version="1.0" encoding="utf-8"?>
<sst xmlns="http://schemas.openxmlformats.org/spreadsheetml/2006/main" count="394" uniqueCount="287">
  <si>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</si>
  <si>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</si>
  <si>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</si>
  <si>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</si>
  <si>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</si>
  <si>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</si>
  <si>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</si>
  <si>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</si>
  <si>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</si>
  <si>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</si>
  <si>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</si>
  <si>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</si>
  <si>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</si>
  <si>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</si>
  <si>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</si>
  <si>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</si>
  <si>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</si>
  <si>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</si>
  <si>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</si>
  <si>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</si>
  <si>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</si>
  <si>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</si>
  <si>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</si>
  <si>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</si>
  <si>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</si>
  <si>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</si>
  <si>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</si>
  <si>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</si>
  <si>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</si>
  <si>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</si>
  <si>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</si>
  <si>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</si>
  <si>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</si>
  <si>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</si>
  <si>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</si>
  <si>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</si>
  <si>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</si>
  <si>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</si>
  <si>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</si>
  <si>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</si>
  <si>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</si>
  <si>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</si>
  <si>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</si>
  <si>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</si>
  <si>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</si>
  <si>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</si>
  <si>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</si>
  <si>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</si>
  <si>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</si>
  <si>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</si>
  <si>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</si>
  <si>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</si>
  <si>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</si>
  <si>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</si>
  <si>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</si>
  <si>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</si>
  <si>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</si>
  <si>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</si>
  <si>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</si>
  <si>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</si>
  <si>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</si>
  <si>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</si>
  <si>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</si>
  <si>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</si>
  <si>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</si>
  <si>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</si>
  <si>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</si>
  <si>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</si>
  <si>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</si>
  <si>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</si>
  <si>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</si>
  <si>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</si>
  <si>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</si>
  <si>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</si>
  <si>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</si>
  <si>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</si>
  <si>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</si>
  <si>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</si>
  <si>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</si>
  <si>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</si>
  <si>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</si>
  <si>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</si>
  <si>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</si>
  <si>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</si>
  <si>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</si>
  <si>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</si>
  <si>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</si>
  <si>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</si>
  <si>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</si>
  <si>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</si>
  <si>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</si>
  <si>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</si>
  <si>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</si>
  <si>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</si>
  <si>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</si>
  <si>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</si>
  <si>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</si>
  <si>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</si>
  <si>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</si>
  <si>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</si>
  <si>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</si>
  <si>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</si>
  <si>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</si>
  <si>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</si>
  <si>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</si>
  <si>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</si>
  <si>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</si>
  <si>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</si>
  <si>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</si>
  <si>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</si>
  <si>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</si>
  <si>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</si>
  <si>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</si>
  <si>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</si>
  <si>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</si>
  <si>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</si>
  <si>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</si>
  <si>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</si>
  <si>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</si>
  <si>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</si>
  <si>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</si>
  <si>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</si>
  <si>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</si>
  <si>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</si>
  <si>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</si>
  <si>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</si>
  <si>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</si>
  <si>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</si>
  <si>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</si>
  <si>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</si>
  <si>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</si>
  <si>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</si>
  <si>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</si>
  <si>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</si>
  <si>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</si>
  <si>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</si>
  <si>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</si>
  <si>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</si>
  <si>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</si>
  <si>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</si>
  <si>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</si>
  <si>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</si>
  <si>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</si>
  <si>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</si>
  <si>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</si>
  <si>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</si>
  <si>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</si>
  <si>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</si>
  <si>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</si>
  <si>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</si>
  <si>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</si>
  <si>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</si>
  <si>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</si>
  <si>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</si>
  <si>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</si>
  <si>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</si>
  <si>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</si>
  <si>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</si>
  <si>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</si>
  <si>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</si>
  <si>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</si>
  <si>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</si>
  <si>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</si>
  <si>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</si>
  <si>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</si>
  <si>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</si>
  <si>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</si>
  <si>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</si>
  <si>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</si>
  <si>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</si>
  <si>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</si>
  <si>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</si>
  <si>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</si>
  <si>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</si>
  <si>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</si>
  <si>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</si>
  <si>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</si>
  <si>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</si>
  <si>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</si>
  <si>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</si>
  <si>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</si>
  <si>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</si>
  <si>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</si>
  <si>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</si>
  <si>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</si>
  <si>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</si>
  <si>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</si>
  <si>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</si>
  <si>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</si>
  <si>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</si>
  <si>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</si>
  <si>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</si>
  <si>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</si>
  <si>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</si>
  <si>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</si>
  <si>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</si>
  <si>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</si>
  <si>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</si>
  <si>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</si>
  <si>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</si>
  <si>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</si>
  <si>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</si>
  <si>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</si>
  <si>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</si>
  <si>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</si>
  <si>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</si>
  <si>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</si>
  <si>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</si>
  <si>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</si>
  <si>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</si>
  <si>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</si>
  <si>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</si>
  <si>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</si>
  <si>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</si>
  <si>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</si>
  <si>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</si>
  <si>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</si>
  <si>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</si>
  <si>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</si>
  <si>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</si>
  <si>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</si>
  <si>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</si>
  <si>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</si>
  <si>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</si>
  <si>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</si>
  <si>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</si>
  <si>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</si>
  <si>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</si>
  <si>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</si>
  <si>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</si>
  <si>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</si>
  <si>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</si>
  <si>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</si>
  <si>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</si>
  <si>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</si>
  <si>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</si>
  <si>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</si>
  <si>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</si>
  <si>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</si>
  <si>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</si>
  <si>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</si>
  <si>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</si>
  <si>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</si>
  <si>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</si>
  <si>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HeaderToolbar</t>
  </si>
  <si>
    <t>Conforme</t>
  </si>
  <si>
    <t>Non conforme</t>
  </si>
  <si>
    <t>Non applicable</t>
  </si>
  <si>
    <t>Le focus est géré par le navigateur (pas d'outline customisé) : conforme lors des tests.
Theme par défaut :
  - Liens menu de gauche (16px gras)
    - normal =&gt; texte bleu sur fond bleu clair =&gt; 12,19 (conforme)
    - hover :
      - "Assuré" =&gt; texte bleu sur fond rose =&gt; 5,4 (conforme)
      - "Professionel de santé" =&gt; texte bleu sur fond azur =&gt; 7,66 (conforme)
      - "Entreprise" =&gt; texte bleu sur fond orange =&gt; 7,69 (conforme)
  - Liens menu de droite (16px normal) normal/hover =&gt; texte bleu sur fond bleu clair =&gt; 14,48 (conforme)</t>
  </si>
  <si>
    <t>L'ajout du souligné sur le lien au format hover ou le curseur pointeur suffisent à donner une indication visible à l'utilisateur sans qu'il y ait nécessité de vérifier le contraste entre le fond du lien et le fond du menu.
Le focus est géré par le navigateur (pas d'outline customisé) : conforme lors des tests.</t>
  </si>
  <si>
    <t>Recommandation : Attention, il n'y a pas nécessité de dupliquer un aria-label avec l'intitulé visible. Cela peut être source d'erreurs.</t>
  </si>
  <si>
    <t>Point positif :
  - Les deux menus sont présents dans deux balises "nav" avec le role="navigation"
Points négatifs :
  - La toolbar doit faire parti de la balise "header". Ajouter des balises "section" pour séparer les différents composants
  - Les deux menus possèdent bien une balise aria-labelledby qui semble pointer vers 2 noms différents. Pourtant, aucun id n'existe. Remplacer par un aria-label avec comme nom "Choix du public" pour celui de gauche et "Menu institutionnel" pour celui de droite. Attention, ces libellés devront être paramétrables par le développeur puisqu'il peut modifier les liens.</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</si>
  <si>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</si>
  <si>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Aucun problème de lisibilité en zoom écran à 200%. 
Cependant, en zoom texte à 200%, les items du menus dépassent du container pouvant ainsi poser des problèmes de contraste. D'ailleurs, au hover, le texte des items adjacents est tronqué.</t>
  </si>
  <si>
    <t>Présence de ul/li sur les deux menus.</t>
  </si>
  <si>
    <t>Le composant est visible lorsque les feuilles de syles sont désactivées.</t>
  </si>
  <si>
    <t>L'information reste compréhensible car chaque élément utilise un élément HTML approprié et l'ordre ne nuit pas à la compréhension du composant.</t>
  </si>
  <si>
    <t>Oui, chaque élément possède une couleur de fond et de polices, au moins, héritée d’un parent.</t>
  </si>
  <si>
    <t>Test effectué à 320px (sens de lecture horizontal).
Le composant contient à 320px une barre de défilement horizontal et le menu de droite disparaît.</t>
  </si>
  <si>
    <t>Testé avec Assistant RGAA :
body {
line-height: 1.5 !important;
letter-spacing: 0.12em !important;
 word-spacing: 0.16em !important;
}
p { margin-bottom: 2em !important; }</t>
  </si>
  <si>
    <t>La tabulation respecte l'ordre des sections.</t>
  </si>
  <si>
    <t>Test avec tabulation conforme =&gt; aucun piège au clavier</t>
  </si>
  <si>
    <t>Les liens sont tous explicites.</t>
  </si>
  <si>
    <t>Tous les éléments sont controlâbles par le clavier. Les points suivants concernent le menu contextuel "Professionel de santé"
Positifs : 
  - Je peux ouvrir et fermer le menu contextuel en faisant Entrer ou Espace
  - Je peux ouvrir le menu en faisant flèche Bas
  - Je peux sortir du menu via Echap
  - Je peux naviguer dans les items en utilisant les flèches Haut et Bas
  - Si je suis sur le dernier item, la flèche Bas me dirige vers le premier élément (et inversement)
  - Le touches Home et End me dirige respectivement vers le premier ou le dernier élément
Recommandation :
  - À la selection d'une valeur, le menu se ferme : le focus doit être redirigé sur le bouton
  - (Optionnel) Si on tape sur une touche "lettre", déplace le focus vers l'élément de menu suivant avec un item qui commence par le caractère tapé si un tel élément de menu existe. Aucun mouvement si aucun item ne correspond.
Pour en savoir plus : https://www.w3.org/WAI/ARIA/apg/patterns/menu-button/examples/menu-button-links/</t>
  </si>
  <si>
    <t>Erreurs remontées par le validateur W3C HTML :
  - Attribute value not allowed on element li at this point.
  - The element button must not appear as a descendant of the a element  =&gt; ne garder que le menu button pour "Professionnel de santé"
  - (Menu contextuel) : Attribute containment not allowed on element div at this point.
  - (Menu contextuel) :  Attribute dense not allowed on element div at this point.
  - (Menu contextuel) : Element div is missing one or more of the following attributes: aria-checked, role.</t>
  </si>
  <si>
    <t>Il faut laisser la possibilité au développer d'utiliser une fonction permettant de savoir quelle section correspond à la page actuelle. Ainsi, on pourrait laisser l'état hover activé par défaut et on y ajouterait un attribut aria-current="page".  Dans l'état pas défaut, on a 2 aria-current, 1 sur chaque menu (le second item). On ne doit avoir qu'un seul aria-current.</t>
  </si>
  <si>
    <t xml:space="preserve">Points positifs :
  - Présence d'un aria-expanded indiquant bien que le menu "Professionnels de santé" contient un sous-menu.
  - Le menu button "Professionnel de santé"  possède les attributs aria-haspopup = "true" et aria-controls  qui fait référence à l'élément HTML avec le rôle menu
  - Le menu button "Professionnel de santé" s'ouvre via Espace/Entrée/Flèche du bas et se referme via Entrée/Echap
  - Les items du menu contextuel "Professionnel de santé" fonctionnent via Flèche haut/bas et boucle (le suivant du dernier est le premier et inversement)
Points négatifs :
  - Présence de deux aria-current (voir critère 3.1)
  - Un overlay apparaît lorsque l'on a le focus sur le sous-menu "Professionnel de santé" mais uniquement en utilisant la touche Espace. Un soucis apparaît aussi à la souris.
  - À la selection d'une valeur, le menu se ferme : le focus doit être redirigé sur le bouton
  - Le menu contextuel (le v-list) doit posséder l'attribut aria-activedescendant qui donne l'id de l'item sélectionné afin que le lecteur d'écran puisse l'identifier.
  - Lorsque l'on ouvre le menu contextuel avec le clavier, le focus n'est pas placé automatiquement sur le premier élément du menu (le v-list qui a un tabindex="0").
  - Le rôle du menu contextuel n'est pas le bon =&gt; nous avons un rôle "listbox" au lieu de "menu". L'item, lui, possède le bon rôle "menuitem". L'attribution des bons rôles permettra au lecteur d'écran d'indiquer que l'utilisateur se trouve dans un menu et d'indiquer sa position dans le menu (il est sur l'item X sur Y).
  - Suite au clic sur un item sur bouton "Professionnel de santé", celui-ci change de nom (principe d'un Combobox/Select et non d'un Menu Button 
  - Impossibilité de naviguer dans les propositions du menu contextuel via un lecteur d'écran (voir si l'attributions des rôles résout le problème). Bloqué sur le premier item.
</t>
  </si>
  <si>
    <t>- https://www.w3.org/WAI/ARIA/apg/patterns/menu-button/</t>
  </si>
  <si>
    <t>Le bouton déclencheur qui ouvre le menu doit être un élément button (ou rôle button) et possèder les attributs suivants :
- aria-haspopup = "true"
- aria-controls qui fait référence à l'élément HTML avec le rôle menu</t>
  </si>
  <si>
    <t>Lorsque le menu est affiché, il faut un aria-expanded="true" sur l'élément HTML button (false lorsqu'il est fermé)</t>
  </si>
  <si>
    <t>Le menu doit avoir :
- le nom accessibe du bouton déclencheur
- le focus (tabindex="-1" si présent dans le DOM, tabindex="0" si non présent accepté)
- l'attribut aria-activedescendant afin de connaître l'item selectionné
- le rôle menu
- le rôle menu-item pour ses items (descendants directs)</t>
  </si>
  <si>
    <t>- https://www.w3.org/WAI/ARIA/apg/patterns/menu-button/examples/menu-button-actions-active-descendant/</t>
  </si>
  <si>
    <t>Doit faire parti d'une balise header role="banner"</t>
  </si>
  <si>
    <t>- https://www.w3.org/WAI/WCAG21/Techniques/aria/ARIA11
- https://www.accede-web.com/notices/html-et-css/structure-generale/structurer-la-zone-dentete-principale-avec-header-rolebanner/</t>
  </si>
  <si>
    <t>- https://www.w3.org/WAI/WCAG21/Techniques/aria/ARIA11
- https://www.accede-web.com/notices/html-et-css/structure-generale/structurer-les-menus-de-navigation-principaux-et-secondaires-avec-nav-rolenavigation/</t>
  </si>
  <si>
    <t>Les menus de navigation doivent être structurer avec des listes</t>
  </si>
  <si>
    <t>Les menus de navigation doivent être dans une balise nav role="navigation" et un nom accessible (via aria-label ou aria-labelledby)</t>
  </si>
  <si>
    <t>- https://www.w3.org/WAI/WCAG21/Techniques/aria/ARIA11
- https://www.accede-web.com/notices/html-et-css/structure-generale/structurer-les-menus-de-navigation-avec-des-listes/</t>
  </si>
  <si>
    <t>1.0.0</t>
  </si>
  <si>
    <t>Composant de type "Menu button" pour les boutons déclencheurs des sous-menus.
Lorsque l'on appuie sur la touche "Entrée", "Espace" ou "Flèche Bas", cela ouvre le menu et place le focus sur le premier élément du menu.
La fermeture du menu peut se faire en pressant "Entrée" ou "Echap". Dans ce cas, le focus est redirigé vers le bouton déclencheur.
On peut naviguer dans les items en utilisants les touches "Flèche Haut", "Flèche Bas", "Home", "End" ou, optionnellement, un caractère afin d'accéder à l'item suivant qui possède en première lettre le caractère tappé.
Si "Flèche Bas" sur le dernier item, le focus est déplacé sur le premier.
Si "Flèche Haut" sur le premier item, le focus est déplacé sur le dernier.</t>
  </si>
  <si>
    <t>Correction post audit V1 - (voir - https://github.com/assurance-maladie-digital/design-system/issues/4006)</t>
  </si>
  <si>
    <t>1.0.9</t>
  </si>
  <si>
    <t>Ajout d'une prop currentPageIndex +
 attribut aria-current</t>
  </si>
  <si>
    <t>suppression d’un aria-expanded
meilleure gestion des focus
optimisation de l’affichage du dropdown
meilleure gestion des roles</t>
  </si>
  <si>
    <t>Focus sur le bouton quand le menu se ferme
focus menu correspondant si une lettre est enrée</t>
  </si>
  <si>
    <t>Fix errors</t>
  </si>
  <si>
    <t>Fix errors + add mobile menu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</si>
</sst>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u/>
      <sz val="12"/>
      <color rgb="FF467886"/>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8">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13" fillId="0" borderId="5" xfId="0" applyFont="1" applyBorder="1" applyAlignment="1">
      <alignment horizontal="right"/>
    </xf>
    <xf numFmtId="0" fontId="14" fillId="6" borderId="5" xfId="0" applyFont="1" applyFill="1" applyBorder="1" applyAlignment="1">
      <alignment horizontal="left" vertical="top" wrapText="1"/>
    </xf>
    <xf numFmtId="0" fontId="15" fillId="0" borderId="10" xfId="0" quotePrefix="1" applyFont="1" applyBorder="1" applyAlignment="1">
      <alignment horizontal="left" vertical="top" wrapText="1"/>
    </xf>
    <xf numFmtId="0" fontId="3"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2" fillId="0" borderId="5" xfId="0" applyFont="1"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3" fillId="0" borderId="12" xfId="0" applyFont="1" applyBorder="1" applyAlignment="1">
      <alignment horizontal="right"/>
    </xf>
    <xf numFmtId="0" fontId="10" fillId="0" borderId="12" xfId="0" applyFont="1" applyBorder="1" applyAlignment="1">
      <alignment horizontal="right"/>
    </xf>
    <xf numFmtId="9" fontId="13" fillId="0" borderId="12" xfId="0" applyNumberFormat="1" applyFont="1" applyBorder="1" applyAlignment="1">
      <alignment horizontal="right"/>
    </xf>
    <xf numFmtId="14" fontId="10" fillId="0" borderId="1" xfId="0" applyNumberFormat="1" applyFont="1" applyBorder="1" applyAlignment="1">
      <alignment horizontal="right"/>
    </xf>
    <xf numFmtId="0" fontId="3" fillId="0" borderId="0" xfId="0" applyFont="1" applyAlignment="1">
      <alignment vertical="top"/>
    </xf>
    <xf numFmtId="0" fontId="7" fillId="3" borderId="11" xfId="0" applyFont="1" applyFill="1" applyBorder="1" applyAlignment="1">
      <alignment vertical="top"/>
    </xf>
    <xf numFmtId="0" fontId="3" fillId="0" borderId="5" xfId="0" applyFont="1" applyBorder="1" applyAlignment="1">
      <alignment vertical="top"/>
    </xf>
    <xf numFmtId="0" fontId="3" fillId="7" borderId="5" xfId="0" applyFont="1" applyFill="1" applyBorder="1" applyAlignment="1">
      <alignment vertical="top"/>
    </xf>
    <xf numFmtId="0" fontId="3" fillId="7" borderId="5" xfId="0" applyFont="1" applyFill="1" applyBorder="1" applyAlignment="1">
      <alignment vertical="top" wrapText="1"/>
    </xf>
  </cellXfs>
  <cellStyles count="2">
    <cellStyle name="Normal" xfId="0" builtinId="0"/>
    <cellStyle name="Pourcentage" xfId="1" builtinId="5"/>
  </cellStyles>
  <dxfs count="12">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9817-9E46-1F47-BD97-767B7E351C09}">
  <dimension ref="A1:F130"/>
  <sheetViews>
    <sheetView tabSelected="1" zoomScale="110" zoomScaleNormal="110" workbookViewId="0">
      <selection activeCell="E51" sqref="E51"/>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15.1640625" style="1" customWidth="1"/>
    <col min="6" max="6" width="30.6640625" style="43" customWidth="1"/>
    <col min="7" max="16384" width="10.83203125" style="1"/>
  </cols>
  <sheetData>
    <row r="1" spans="1:6" ht="32" customHeight="1">
      <c r="A1" s="30" t="s">
        <v>244</v>
      </c>
      <c r="B1" s="30"/>
      <c r="C1" s="30"/>
      <c r="D1" s="30"/>
    </row>
    <row r="2" spans="1:6" ht="19">
      <c r="A2" s="31" t="s">
        <v>242</v>
      </c>
      <c r="B2" s="31"/>
      <c r="C2" s="31"/>
      <c r="D2" s="15" t="s">
        <v>243</v>
      </c>
      <c r="E2" s="39" t="s">
        <v>280</v>
      </c>
    </row>
    <row r="3" spans="1:6" ht="19">
      <c r="A3" s="32" t="s">
        <v>234</v>
      </c>
      <c r="B3" s="32"/>
      <c r="C3" s="32"/>
      <c r="D3" s="8">
        <v>45841</v>
      </c>
      <c r="E3" s="42">
        <v>45916</v>
      </c>
    </row>
    <row r="4" spans="1:6" ht="19">
      <c r="A4" s="33" t="s">
        <v>238</v>
      </c>
      <c r="B4" s="34"/>
      <c r="C4" s="35"/>
      <c r="D4" s="13" t="s">
        <v>278</v>
      </c>
      <c r="E4" s="40" t="s">
        <v>281</v>
      </c>
    </row>
    <row r="5" spans="1:6" ht="16" customHeight="1">
      <c r="A5" s="32" t="s">
        <v>230</v>
      </c>
      <c r="B5" s="32"/>
      <c r="C5" s="32"/>
      <c r="D5" s="9">
        <f xml:space="preserve"> COUNTIF($D$14:$D$119,"Conforme")</f>
        <v>12</v>
      </c>
      <c r="E5" s="40">
        <v>19</v>
      </c>
    </row>
    <row r="6" spans="1:6" ht="19">
      <c r="A6" s="32" t="s">
        <v>231</v>
      </c>
      <c r="B6" s="32"/>
      <c r="C6" s="32"/>
      <c r="D6" s="9">
        <f xml:space="preserve"> COUNTIF($D$14:$D$119,"Non conforme")</f>
        <v>7</v>
      </c>
      <c r="E6" s="40">
        <v>0</v>
      </c>
    </row>
    <row r="7" spans="1:6" ht="19">
      <c r="A7" s="32" t="s">
        <v>237</v>
      </c>
      <c r="B7" s="32"/>
      <c r="C7" s="32"/>
      <c r="D7" s="9">
        <f xml:space="preserve"> COUNTIF($D$14:$D$119,"Non applicable")</f>
        <v>87</v>
      </c>
      <c r="E7" s="40">
        <v>87</v>
      </c>
    </row>
    <row r="8" spans="1:6" ht="19">
      <c r="A8" s="32" t="s">
        <v>232</v>
      </c>
      <c r="B8" s="32"/>
      <c r="C8" s="32"/>
      <c r="D8" s="9">
        <f xml:space="preserve"> COUNTIF($D$14:$D$119,"Dérogé")</f>
        <v>0</v>
      </c>
      <c r="E8" s="40">
        <v>0</v>
      </c>
    </row>
    <row r="9" spans="1:6" ht="19">
      <c r="A9" s="32" t="s">
        <v>233</v>
      </c>
      <c r="B9" s="32"/>
      <c r="C9" s="32"/>
      <c r="D9" s="9">
        <f xml:space="preserve"> COUNTIF($D$14:$D$119,"Non testé")</f>
        <v>0</v>
      </c>
      <c r="E9" s="40">
        <v>0</v>
      </c>
    </row>
    <row r="10" spans="1:6" ht="19" customHeight="1">
      <c r="A10" s="36" t="s">
        <v>239</v>
      </c>
      <c r="B10" s="37"/>
      <c r="C10" s="38"/>
      <c r="D10" s="14">
        <f>IF(SUM(D5:D6)&gt;0,D5/SUM(D5:D6),"")</f>
        <v>0.63157894736842102</v>
      </c>
      <c r="E10" s="41">
        <v>1</v>
      </c>
    </row>
    <row r="11" spans="1:6" ht="19" customHeight="1">
      <c r="A11" s="36" t="s">
        <v>240</v>
      </c>
      <c r="B11" s="37"/>
      <c r="C11" s="38"/>
      <c r="D11" s="14">
        <f>IF(SUM(D5:D6)&gt;0,1-ROUND(D10,2),"")</f>
        <v>0.37</v>
      </c>
      <c r="E11" s="41">
        <v>0</v>
      </c>
    </row>
    <row r="12" spans="1:6">
      <c r="A12" s="7"/>
      <c r="B12" s="7"/>
      <c r="C12" s="7"/>
    </row>
    <row r="13" spans="1:6" ht="19">
      <c r="A13" s="4" t="s">
        <v>0</v>
      </c>
      <c r="B13" s="4" t="s">
        <v>229</v>
      </c>
      <c r="C13" s="4" t="s">
        <v>1</v>
      </c>
      <c r="D13" s="4" t="s">
        <v>227</v>
      </c>
      <c r="E13" s="6" t="s">
        <v>228</v>
      </c>
      <c r="F13" s="44" t="s">
        <v>241</v>
      </c>
    </row>
    <row r="14" spans="1:6" ht="34">
      <c r="A14" s="29" t="s">
        <v>2</v>
      </c>
      <c r="B14" s="2" t="s">
        <v>3</v>
      </c>
      <c r="C14" s="3" t="s">
        <v>4</v>
      </c>
      <c r="D14" s="5" t="s">
        <v>247</v>
      </c>
      <c r="E14" s="11"/>
      <c r="F14" s="45"/>
    </row>
    <row r="15" spans="1:6" ht="34">
      <c r="A15" s="27"/>
      <c r="B15" s="2" t="s">
        <v>5</v>
      </c>
      <c r="C15" s="3" t="s">
        <v>6</v>
      </c>
      <c r="D15" s="5" t="s">
        <v>247</v>
      </c>
      <c r="E15" s="12"/>
      <c r="F15" s="45"/>
    </row>
    <row r="16" spans="1:6" ht="34">
      <c r="A16" s="27"/>
      <c r="B16" s="2" t="s">
        <v>7</v>
      </c>
      <c r="C16" s="3" t="s">
        <v>8</v>
      </c>
      <c r="D16" s="5" t="s">
        <v>247</v>
      </c>
      <c r="E16" s="11"/>
      <c r="F16" s="45"/>
    </row>
    <row r="17" spans="1:6" ht="51">
      <c r="A17" s="27"/>
      <c r="B17" s="2" t="s">
        <v>9</v>
      </c>
      <c r="C17" s="3" t="s">
        <v>10</v>
      </c>
      <c r="D17" s="5" t="s">
        <v>247</v>
      </c>
      <c r="E17" s="11"/>
      <c r="F17" s="45"/>
    </row>
    <row r="18" spans="1:6" ht="34">
      <c r="A18" s="27"/>
      <c r="B18" s="2" t="s">
        <v>11</v>
      </c>
      <c r="C18" s="3" t="s">
        <v>12</v>
      </c>
      <c r="D18" s="5" t="s">
        <v>247</v>
      </c>
      <c r="E18" s="11"/>
      <c r="F18" s="45"/>
    </row>
    <row r="19" spans="1:6" ht="34">
      <c r="A19" s="27"/>
      <c r="B19" s="2" t="s">
        <v>13</v>
      </c>
      <c r="C19" s="3" t="s">
        <v>14</v>
      </c>
      <c r="D19" s="5" t="s">
        <v>247</v>
      </c>
      <c r="E19" s="11"/>
      <c r="F19" s="45"/>
    </row>
    <row r="20" spans="1:6" ht="34">
      <c r="A20" s="27"/>
      <c r="B20" s="2" t="s">
        <v>15</v>
      </c>
      <c r="C20" s="3" t="s">
        <v>16</v>
      </c>
      <c r="D20" s="5" t="s">
        <v>247</v>
      </c>
      <c r="E20" s="11"/>
      <c r="F20" s="45"/>
    </row>
    <row r="21" spans="1:6" ht="51">
      <c r="A21" s="27"/>
      <c r="B21" s="2" t="s">
        <v>17</v>
      </c>
      <c r="C21" s="3" t="s">
        <v>18</v>
      </c>
      <c r="D21" s="5" t="s">
        <v>247</v>
      </c>
      <c r="E21" s="11"/>
      <c r="F21" s="45"/>
    </row>
    <row r="22" spans="1:6" ht="34">
      <c r="A22" s="28"/>
      <c r="B22" s="2" t="s">
        <v>19</v>
      </c>
      <c r="C22" s="3" t="s">
        <v>20</v>
      </c>
      <c r="D22" s="5" t="s">
        <v>247</v>
      </c>
      <c r="E22" s="11"/>
      <c r="F22" s="45"/>
    </row>
    <row r="23" spans="1:6" ht="19">
      <c r="A23" s="26" t="s">
        <v>21</v>
      </c>
      <c r="B23" s="2" t="s">
        <v>22</v>
      </c>
      <c r="C23" s="3" t="s">
        <v>23</v>
      </c>
      <c r="D23" s="5" t="s">
        <v>247</v>
      </c>
      <c r="E23" s="11"/>
      <c r="F23" s="45"/>
    </row>
    <row r="24" spans="1:6" ht="34">
      <c r="A24" s="28"/>
      <c r="B24" s="2" t="s">
        <v>24</v>
      </c>
      <c r="C24" s="3" t="s">
        <v>25</v>
      </c>
      <c r="D24" s="5" t="s">
        <v>247</v>
      </c>
      <c r="E24" s="11"/>
      <c r="F24" s="45"/>
    </row>
    <row r="25" spans="1:6" ht="51">
      <c r="A25" s="26" t="s">
        <v>26</v>
      </c>
      <c r="B25" s="2" t="s">
        <v>27</v>
      </c>
      <c r="C25" s="3" t="s">
        <v>28</v>
      </c>
      <c r="D25" s="5" t="s">
        <v>246</v>
      </c>
      <c r="E25" s="11" t="s">
        <v>265</v>
      </c>
      <c r="F25" s="47" t="s">
        <v>282</v>
      </c>
    </row>
    <row r="26" spans="1:6" ht="170">
      <c r="A26" s="27"/>
      <c r="B26" s="2" t="s">
        <v>29</v>
      </c>
      <c r="C26" s="3" t="s">
        <v>30</v>
      </c>
      <c r="D26" s="5" t="s">
        <v>245</v>
      </c>
      <c r="E26" s="11" t="s">
        <v>248</v>
      </c>
      <c r="F26" s="45"/>
    </row>
    <row r="27" spans="1:6" ht="51">
      <c r="A27" s="28"/>
      <c r="B27" s="2" t="s">
        <v>31</v>
      </c>
      <c r="C27" s="3" t="s">
        <v>32</v>
      </c>
      <c r="D27" s="5" t="s">
        <v>245</v>
      </c>
      <c r="E27" s="11" t="s">
        <v>249</v>
      </c>
      <c r="F27" s="45"/>
    </row>
    <row r="28" spans="1:6" ht="34">
      <c r="A28" s="26" t="s">
        <v>33</v>
      </c>
      <c r="B28" s="2" t="s">
        <v>34</v>
      </c>
      <c r="C28" s="3" t="s">
        <v>35</v>
      </c>
      <c r="D28" s="5" t="s">
        <v>247</v>
      </c>
      <c r="E28" s="11"/>
      <c r="F28" s="45"/>
    </row>
    <row r="29" spans="1:6" ht="51">
      <c r="A29" s="27"/>
      <c r="B29" s="2" t="s">
        <v>36</v>
      </c>
      <c r="C29" s="3" t="s">
        <v>37</v>
      </c>
      <c r="D29" s="5" t="s">
        <v>247</v>
      </c>
      <c r="E29" s="11"/>
      <c r="F29" s="45"/>
    </row>
    <row r="30" spans="1:6" ht="34">
      <c r="A30" s="27"/>
      <c r="B30" s="2" t="s">
        <v>38</v>
      </c>
      <c r="C30" s="3" t="s">
        <v>39</v>
      </c>
      <c r="D30" s="5" t="s">
        <v>247</v>
      </c>
      <c r="E30" s="11"/>
      <c r="F30" s="45"/>
    </row>
    <row r="31" spans="1:6" ht="34">
      <c r="A31" s="27"/>
      <c r="B31" s="2" t="s">
        <v>40</v>
      </c>
      <c r="C31" s="3" t="s">
        <v>41</v>
      </c>
      <c r="D31" s="5" t="s">
        <v>247</v>
      </c>
      <c r="E31" s="11"/>
      <c r="F31" s="45"/>
    </row>
    <row r="32" spans="1:6" ht="34">
      <c r="A32" s="27"/>
      <c r="B32" s="2" t="s">
        <v>42</v>
      </c>
      <c r="C32" s="3" t="s">
        <v>43</v>
      </c>
      <c r="D32" s="5" t="s">
        <v>247</v>
      </c>
      <c r="E32" s="11"/>
      <c r="F32" s="45"/>
    </row>
    <row r="33" spans="1:6" ht="34">
      <c r="A33" s="27"/>
      <c r="B33" s="2" t="s">
        <v>44</v>
      </c>
      <c r="C33" s="3" t="s">
        <v>45</v>
      </c>
      <c r="D33" s="5" t="s">
        <v>247</v>
      </c>
      <c r="E33" s="11"/>
      <c r="F33" s="45"/>
    </row>
    <row r="34" spans="1:6" ht="34">
      <c r="A34" s="27"/>
      <c r="B34" s="2" t="s">
        <v>46</v>
      </c>
      <c r="C34" s="3" t="s">
        <v>47</v>
      </c>
      <c r="D34" s="5" t="s">
        <v>247</v>
      </c>
      <c r="E34" s="11"/>
      <c r="F34" s="45"/>
    </row>
    <row r="35" spans="1:6" ht="34">
      <c r="A35" s="27"/>
      <c r="B35" s="2" t="s">
        <v>48</v>
      </c>
      <c r="C35" s="3" t="s">
        <v>49</v>
      </c>
      <c r="D35" s="5" t="s">
        <v>247</v>
      </c>
      <c r="E35" s="11"/>
      <c r="F35" s="45"/>
    </row>
    <row r="36" spans="1:6" ht="34">
      <c r="A36" s="27"/>
      <c r="B36" s="2" t="s">
        <v>50</v>
      </c>
      <c r="C36" s="3" t="s">
        <v>51</v>
      </c>
      <c r="D36" s="5" t="s">
        <v>247</v>
      </c>
      <c r="E36" s="11"/>
      <c r="F36" s="45"/>
    </row>
    <row r="37" spans="1:6" ht="34">
      <c r="A37" s="27"/>
      <c r="B37" s="2" t="s">
        <v>52</v>
      </c>
      <c r="C37" s="3" t="s">
        <v>53</v>
      </c>
      <c r="D37" s="5" t="s">
        <v>247</v>
      </c>
      <c r="E37" s="11"/>
      <c r="F37" s="45"/>
    </row>
    <row r="38" spans="1:6" ht="34">
      <c r="A38" s="27"/>
      <c r="B38" s="2" t="s">
        <v>54</v>
      </c>
      <c r="C38" s="3" t="s">
        <v>55</v>
      </c>
      <c r="D38" s="5" t="s">
        <v>247</v>
      </c>
      <c r="E38" s="11"/>
      <c r="F38" s="45"/>
    </row>
    <row r="39" spans="1:6" ht="34">
      <c r="A39" s="27"/>
      <c r="B39" s="2" t="s">
        <v>56</v>
      </c>
      <c r="C39" s="3" t="s">
        <v>57</v>
      </c>
      <c r="D39" s="5" t="s">
        <v>247</v>
      </c>
      <c r="E39" s="11"/>
      <c r="F39" s="45"/>
    </row>
    <row r="40" spans="1:6" ht="34">
      <c r="A40" s="28"/>
      <c r="B40" s="2" t="s">
        <v>58</v>
      </c>
      <c r="C40" s="3" t="s">
        <v>59</v>
      </c>
      <c r="D40" s="5" t="s">
        <v>247</v>
      </c>
      <c r="E40" s="11"/>
      <c r="F40" s="45"/>
    </row>
    <row r="41" spans="1:6" ht="19">
      <c r="A41" s="26" t="s">
        <v>60</v>
      </c>
      <c r="B41" s="2" t="s">
        <v>61</v>
      </c>
      <c r="C41" s="3" t="s">
        <v>62</v>
      </c>
      <c r="D41" s="5" t="s">
        <v>247</v>
      </c>
      <c r="E41" s="11"/>
      <c r="F41" s="45"/>
    </row>
    <row r="42" spans="1:6" ht="34">
      <c r="A42" s="27"/>
      <c r="B42" s="2" t="s">
        <v>63</v>
      </c>
      <c r="C42" s="3" t="s">
        <v>64</v>
      </c>
      <c r="D42" s="5" t="s">
        <v>247</v>
      </c>
      <c r="E42" s="11"/>
      <c r="F42" s="45"/>
    </row>
    <row r="43" spans="1:6" ht="34">
      <c r="A43" s="27"/>
      <c r="B43" s="2" t="s">
        <v>65</v>
      </c>
      <c r="C43" s="3" t="s">
        <v>66</v>
      </c>
      <c r="D43" s="5" t="s">
        <v>247</v>
      </c>
      <c r="E43" s="11"/>
      <c r="F43" s="45"/>
    </row>
    <row r="44" spans="1:6" ht="34">
      <c r="A44" s="27"/>
      <c r="B44" s="2" t="s">
        <v>67</v>
      </c>
      <c r="C44" s="3" t="s">
        <v>68</v>
      </c>
      <c r="D44" s="5" t="s">
        <v>247</v>
      </c>
      <c r="E44" s="11"/>
      <c r="F44" s="45"/>
    </row>
    <row r="45" spans="1:6" ht="19">
      <c r="A45" s="27"/>
      <c r="B45" s="2" t="s">
        <v>69</v>
      </c>
      <c r="C45" s="3" t="s">
        <v>70</v>
      </c>
      <c r="D45" s="5" t="s">
        <v>247</v>
      </c>
      <c r="E45" s="11"/>
      <c r="F45" s="45"/>
    </row>
    <row r="46" spans="1:6" ht="34">
      <c r="A46" s="27"/>
      <c r="B46" s="2" t="s">
        <v>71</v>
      </c>
      <c r="C46" s="3" t="s">
        <v>72</v>
      </c>
      <c r="D46" s="5" t="s">
        <v>247</v>
      </c>
      <c r="E46" s="11"/>
      <c r="F46" s="45"/>
    </row>
    <row r="47" spans="1:6" ht="51">
      <c r="A47" s="27"/>
      <c r="B47" s="2" t="s">
        <v>73</v>
      </c>
      <c r="C47" s="3" t="s">
        <v>74</v>
      </c>
      <c r="D47" s="5" t="s">
        <v>247</v>
      </c>
      <c r="E47" s="11"/>
      <c r="F47" s="45"/>
    </row>
    <row r="48" spans="1:6" ht="34">
      <c r="A48" s="28"/>
      <c r="B48" s="2" t="s">
        <v>75</v>
      </c>
      <c r="C48" s="3" t="s">
        <v>76</v>
      </c>
      <c r="D48" s="5" t="s">
        <v>247</v>
      </c>
      <c r="E48" s="11"/>
      <c r="F48" s="45"/>
    </row>
    <row r="49" spans="1:6" ht="19">
      <c r="A49" s="26" t="s">
        <v>77</v>
      </c>
      <c r="B49" s="2" t="s">
        <v>78</v>
      </c>
      <c r="C49" s="3" t="s">
        <v>79</v>
      </c>
      <c r="D49" s="5" t="s">
        <v>245</v>
      </c>
      <c r="E49" s="11" t="s">
        <v>262</v>
      </c>
      <c r="F49" s="45"/>
    </row>
    <row r="50" spans="1:6" ht="19">
      <c r="A50" s="28"/>
      <c r="B50" s="2" t="s">
        <v>80</v>
      </c>
      <c r="C50" s="3" t="s">
        <v>81</v>
      </c>
      <c r="D50" s="5" t="s">
        <v>245</v>
      </c>
      <c r="E50" s="11" t="s">
        <v>250</v>
      </c>
      <c r="F50" s="45"/>
    </row>
    <row r="51" spans="1:6" ht="409.6">
      <c r="A51" s="26" t="s">
        <v>82</v>
      </c>
      <c r="B51" s="2" t="s">
        <v>83</v>
      </c>
      <c r="C51" s="3" t="s">
        <v>84</v>
      </c>
      <c r="D51" s="5" t="s">
        <v>246</v>
      </c>
      <c r="E51" s="11" t="s">
        <v>266</v>
      </c>
      <c r="F51" s="47" t="s">
        <v>283</v>
      </c>
    </row>
    <row r="52" spans="1:6" ht="34">
      <c r="A52" s="27"/>
      <c r="B52" s="2" t="s">
        <v>85</v>
      </c>
      <c r="C52" s="3" t="s">
        <v>86</v>
      </c>
      <c r="D52" s="5" t="s">
        <v>247</v>
      </c>
      <c r="E52" s="11"/>
      <c r="F52" s="45"/>
    </row>
    <row r="53" spans="1:6" ht="272">
      <c r="A53" s="27"/>
      <c r="B53" s="2" t="s">
        <v>87</v>
      </c>
      <c r="C53" s="3" t="s">
        <v>88</v>
      </c>
      <c r="D53" s="5" t="s">
        <v>246</v>
      </c>
      <c r="E53" s="11" t="s">
        <v>263</v>
      </c>
      <c r="F53" s="47" t="s">
        <v>284</v>
      </c>
    </row>
    <row r="54" spans="1:6" ht="34">
      <c r="A54" s="27"/>
      <c r="B54" s="2" t="s">
        <v>89</v>
      </c>
      <c r="C54" s="3" t="s">
        <v>90</v>
      </c>
      <c r="D54" s="5" t="s">
        <v>247</v>
      </c>
      <c r="E54" s="11"/>
      <c r="F54" s="45"/>
    </row>
    <row r="55" spans="1:6" ht="34">
      <c r="A55" s="28"/>
      <c r="B55" s="2" t="s">
        <v>91</v>
      </c>
      <c r="C55" s="3" t="s">
        <v>92</v>
      </c>
      <c r="D55" s="5" t="s">
        <v>247</v>
      </c>
      <c r="E55" s="11"/>
      <c r="F55" s="45"/>
    </row>
    <row r="56" spans="1:6" ht="19">
      <c r="A56" s="26" t="s">
        <v>93</v>
      </c>
      <c r="B56" s="2" t="s">
        <v>94</v>
      </c>
      <c r="C56" s="3" t="s">
        <v>95</v>
      </c>
      <c r="D56" s="5" t="s">
        <v>247</v>
      </c>
      <c r="E56" s="11"/>
      <c r="F56" s="45"/>
    </row>
    <row r="57" spans="1:6" ht="102">
      <c r="A57" s="27"/>
      <c r="B57" s="2" t="s">
        <v>96</v>
      </c>
      <c r="C57" s="3" t="s">
        <v>97</v>
      </c>
      <c r="D57" s="5" t="s">
        <v>246</v>
      </c>
      <c r="E57" s="11" t="s">
        <v>264</v>
      </c>
      <c r="F57" s="46" t="s">
        <v>285</v>
      </c>
    </row>
    <row r="58" spans="1:6" ht="19">
      <c r="A58" s="27"/>
      <c r="B58" s="2" t="s">
        <v>98</v>
      </c>
      <c r="C58" s="3" t="s">
        <v>99</v>
      </c>
      <c r="D58" s="5" t="s">
        <v>247</v>
      </c>
      <c r="E58" s="11"/>
      <c r="F58" s="45"/>
    </row>
    <row r="59" spans="1:6" ht="34">
      <c r="A59" s="27"/>
      <c r="B59" s="2" t="s">
        <v>100</v>
      </c>
      <c r="C59" s="3" t="s">
        <v>101</v>
      </c>
      <c r="D59" s="5" t="s">
        <v>247</v>
      </c>
      <c r="E59" s="11"/>
      <c r="F59" s="45"/>
    </row>
    <row r="60" spans="1:6" ht="19">
      <c r="A60" s="27"/>
      <c r="B60" s="2" t="s">
        <v>102</v>
      </c>
      <c r="C60" s="3" t="s">
        <v>103</v>
      </c>
      <c r="D60" s="5" t="s">
        <v>247</v>
      </c>
      <c r="E60" s="11"/>
      <c r="F60" s="45"/>
    </row>
    <row r="61" spans="1:6" ht="19">
      <c r="A61" s="27"/>
      <c r="B61" s="2" t="s">
        <v>104</v>
      </c>
      <c r="C61" s="3" t="s">
        <v>105</v>
      </c>
      <c r="D61" s="5" t="s">
        <v>247</v>
      </c>
      <c r="E61" s="11"/>
      <c r="F61" s="45"/>
    </row>
    <row r="62" spans="1:6" ht="34">
      <c r="A62" s="27"/>
      <c r="B62" s="2" t="s">
        <v>106</v>
      </c>
      <c r="C62" s="3" t="s">
        <v>107</v>
      </c>
      <c r="D62" s="5" t="s">
        <v>247</v>
      </c>
      <c r="E62" s="11"/>
      <c r="F62" s="45"/>
    </row>
    <row r="63" spans="1:6" ht="34">
      <c r="A63" s="27"/>
      <c r="B63" s="2" t="s">
        <v>108</v>
      </c>
      <c r="C63" s="3" t="s">
        <v>109</v>
      </c>
      <c r="D63" s="5" t="s">
        <v>247</v>
      </c>
      <c r="E63" s="11"/>
      <c r="F63" s="45"/>
    </row>
    <row r="64" spans="1:6" ht="34">
      <c r="A64" s="27"/>
      <c r="B64" s="2" t="s">
        <v>110</v>
      </c>
      <c r="C64" s="3" t="s">
        <v>111</v>
      </c>
      <c r="D64" s="5" t="s">
        <v>247</v>
      </c>
      <c r="E64" s="11"/>
      <c r="F64" s="45"/>
    </row>
    <row r="65" spans="1:6" ht="34">
      <c r="A65" s="28"/>
      <c r="B65" s="2" t="s">
        <v>112</v>
      </c>
      <c r="C65" s="3" t="s">
        <v>113</v>
      </c>
      <c r="D65" s="5" t="s">
        <v>247</v>
      </c>
      <c r="E65" s="11"/>
      <c r="F65" s="45"/>
    </row>
    <row r="66" spans="1:6" ht="34">
      <c r="A66" s="26" t="s">
        <v>114</v>
      </c>
      <c r="B66" s="2" t="s">
        <v>115</v>
      </c>
      <c r="C66" s="3" t="s">
        <v>116</v>
      </c>
      <c r="D66" s="5" t="s">
        <v>247</v>
      </c>
      <c r="E66" s="11"/>
      <c r="F66" s="45"/>
    </row>
    <row r="67" spans="1:6" ht="136">
      <c r="A67" s="27"/>
      <c r="B67" s="2" t="s">
        <v>117</v>
      </c>
      <c r="C67" s="3" t="s">
        <v>118</v>
      </c>
      <c r="D67" s="5" t="s">
        <v>246</v>
      </c>
      <c r="E67" s="11" t="s">
        <v>251</v>
      </c>
      <c r="F67" s="46" t="s">
        <v>285</v>
      </c>
    </row>
    <row r="68" spans="1:6" ht="19">
      <c r="A68" s="27"/>
      <c r="B68" s="2" t="s">
        <v>119</v>
      </c>
      <c r="C68" s="3" t="s">
        <v>120</v>
      </c>
      <c r="D68" s="5" t="s">
        <v>245</v>
      </c>
      <c r="E68" s="11" t="s">
        <v>254</v>
      </c>
      <c r="F68" s="45"/>
    </row>
    <row r="69" spans="1:6" ht="34">
      <c r="A69" s="28"/>
      <c r="B69" s="2" t="s">
        <v>121</v>
      </c>
      <c r="C69" s="3" t="s">
        <v>122</v>
      </c>
      <c r="D69" s="5" t="s">
        <v>247</v>
      </c>
      <c r="E69" s="11"/>
      <c r="F69" s="45"/>
    </row>
    <row r="70" spans="1:6" ht="51">
      <c r="A70" s="26" t="s">
        <v>123</v>
      </c>
      <c r="B70" s="2" t="s">
        <v>124</v>
      </c>
      <c r="C70" s="3" t="s">
        <v>125</v>
      </c>
      <c r="D70" s="5" t="s">
        <v>245</v>
      </c>
      <c r="E70" s="11" t="s">
        <v>252</v>
      </c>
      <c r="F70" s="45"/>
    </row>
    <row r="71" spans="1:6" ht="34">
      <c r="A71" s="27"/>
      <c r="B71" s="2" t="s">
        <v>126</v>
      </c>
      <c r="C71" s="3" t="s">
        <v>127</v>
      </c>
      <c r="D71" s="5" t="s">
        <v>245</v>
      </c>
      <c r="E71" s="11" t="s">
        <v>255</v>
      </c>
      <c r="F71" s="45"/>
    </row>
    <row r="72" spans="1:6" ht="34">
      <c r="A72" s="27"/>
      <c r="B72" s="2" t="s">
        <v>128</v>
      </c>
      <c r="C72" s="3" t="s">
        <v>129</v>
      </c>
      <c r="D72" s="5" t="s">
        <v>245</v>
      </c>
      <c r="E72" s="11" t="s">
        <v>256</v>
      </c>
      <c r="F72" s="45"/>
    </row>
    <row r="73" spans="1:6" ht="51">
      <c r="A73" s="27"/>
      <c r="B73" s="2" t="s">
        <v>130</v>
      </c>
      <c r="C73" s="3" t="s">
        <v>131</v>
      </c>
      <c r="D73" s="5" t="s">
        <v>246</v>
      </c>
      <c r="E73" s="11" t="s">
        <v>253</v>
      </c>
      <c r="F73" s="46" t="s">
        <v>285</v>
      </c>
    </row>
    <row r="74" spans="1:6" ht="34">
      <c r="A74" s="27"/>
      <c r="B74" s="2" t="s">
        <v>132</v>
      </c>
      <c r="C74" s="3" t="s">
        <v>133</v>
      </c>
      <c r="D74" s="5" t="s">
        <v>245</v>
      </c>
      <c r="E74" s="16" t="s">
        <v>257</v>
      </c>
      <c r="F74" s="45"/>
    </row>
    <row r="75" spans="1:6" ht="34">
      <c r="A75" s="27"/>
      <c r="B75" s="2" t="s">
        <v>134</v>
      </c>
      <c r="C75" s="3" t="s">
        <v>135</v>
      </c>
      <c r="D75" s="5" t="s">
        <v>247</v>
      </c>
      <c r="E75" s="11"/>
      <c r="F75" s="45"/>
    </row>
    <row r="76" spans="1:6" ht="34">
      <c r="A76" s="27"/>
      <c r="B76" s="2" t="s">
        <v>136</v>
      </c>
      <c r="C76" s="3" t="s">
        <v>137</v>
      </c>
      <c r="D76" s="5" t="s">
        <v>247</v>
      </c>
      <c r="E76" s="11"/>
      <c r="F76" s="45"/>
    </row>
    <row r="77" spans="1:6" ht="34">
      <c r="A77" s="27"/>
      <c r="B77" s="2" t="s">
        <v>138</v>
      </c>
      <c r="C77" s="3" t="s">
        <v>139</v>
      </c>
      <c r="D77" s="5" t="s">
        <v>247</v>
      </c>
      <c r="E77" s="11"/>
      <c r="F77" s="45"/>
    </row>
    <row r="78" spans="1:6" ht="51">
      <c r="A78" s="27"/>
      <c r="B78" s="2" t="s">
        <v>140</v>
      </c>
      <c r="C78" s="3" t="s">
        <v>141</v>
      </c>
      <c r="D78" s="5" t="s">
        <v>247</v>
      </c>
      <c r="E78" s="11"/>
      <c r="F78" s="45"/>
    </row>
    <row r="79" spans="1:6" ht="51">
      <c r="A79" s="27"/>
      <c r="B79" s="2" t="s">
        <v>142</v>
      </c>
      <c r="C79" s="3" t="s">
        <v>143</v>
      </c>
      <c r="D79" s="5" t="s">
        <v>247</v>
      </c>
      <c r="E79" s="11"/>
      <c r="F79" s="45"/>
    </row>
    <row r="80" spans="1:6" ht="85">
      <c r="A80" s="27"/>
      <c r="B80" s="2" t="s">
        <v>144</v>
      </c>
      <c r="C80" s="3" t="s">
        <v>145</v>
      </c>
      <c r="D80" s="5" t="s">
        <v>246</v>
      </c>
      <c r="E80" s="11" t="s">
        <v>258</v>
      </c>
      <c r="F80" s="46" t="s">
        <v>286</v>
      </c>
    </row>
    <row r="81" spans="1:6" ht="119">
      <c r="A81" s="27"/>
      <c r="B81" s="2" t="s">
        <v>146</v>
      </c>
      <c r="C81" s="3" t="s">
        <v>147</v>
      </c>
      <c r="D81" s="5" t="s">
        <v>245</v>
      </c>
      <c r="E81" s="11" t="s">
        <v>259</v>
      </c>
      <c r="F81" s="45"/>
    </row>
    <row r="82" spans="1:6" ht="51">
      <c r="A82" s="27"/>
      <c r="B82" s="2" t="s">
        <v>148</v>
      </c>
      <c r="C82" s="3" t="s">
        <v>149</v>
      </c>
      <c r="D82" s="5" t="s">
        <v>247</v>
      </c>
      <c r="E82" s="11"/>
      <c r="F82" s="45"/>
    </row>
    <row r="83" spans="1:6" ht="51">
      <c r="A83" s="28"/>
      <c r="B83" s="2" t="s">
        <v>150</v>
      </c>
      <c r="C83" s="3" t="s">
        <v>151</v>
      </c>
      <c r="D83" s="5" t="s">
        <v>247</v>
      </c>
      <c r="E83" s="11"/>
      <c r="F83" s="45"/>
    </row>
    <row r="84" spans="1:6" ht="19">
      <c r="A84" s="26" t="s">
        <v>152</v>
      </c>
      <c r="B84" s="2" t="s">
        <v>153</v>
      </c>
      <c r="C84" s="3" t="s">
        <v>154</v>
      </c>
      <c r="D84" s="5" t="s">
        <v>247</v>
      </c>
      <c r="E84" s="11"/>
      <c r="F84" s="45"/>
    </row>
    <row r="85" spans="1:6" ht="34">
      <c r="A85" s="27"/>
      <c r="B85" s="2" t="s">
        <v>155</v>
      </c>
      <c r="C85" s="3" t="s">
        <v>156</v>
      </c>
      <c r="D85" s="5" t="s">
        <v>247</v>
      </c>
      <c r="E85" s="11"/>
      <c r="F85" s="45"/>
    </row>
    <row r="86" spans="1:6" ht="51">
      <c r="A86" s="27"/>
      <c r="B86" s="2" t="s">
        <v>157</v>
      </c>
      <c r="C86" s="3" t="s">
        <v>158</v>
      </c>
      <c r="D86" s="5" t="s">
        <v>247</v>
      </c>
      <c r="E86" s="11"/>
      <c r="F86" s="45"/>
    </row>
    <row r="87" spans="1:6" ht="34">
      <c r="A87" s="27"/>
      <c r="B87" s="2" t="s">
        <v>159</v>
      </c>
      <c r="C87" s="3" t="s">
        <v>160</v>
      </c>
      <c r="D87" s="5" t="s">
        <v>247</v>
      </c>
      <c r="E87" s="11"/>
      <c r="F87" s="45"/>
    </row>
    <row r="88" spans="1:6" ht="34">
      <c r="A88" s="27"/>
      <c r="B88" s="2" t="s">
        <v>161</v>
      </c>
      <c r="C88" s="3" t="s">
        <v>162</v>
      </c>
      <c r="D88" s="5" t="s">
        <v>247</v>
      </c>
      <c r="E88" s="11"/>
      <c r="F88" s="45"/>
    </row>
    <row r="89" spans="1:6" ht="34">
      <c r="A89" s="27"/>
      <c r="B89" s="2" t="s">
        <v>163</v>
      </c>
      <c r="C89" s="3" t="s">
        <v>164</v>
      </c>
      <c r="D89" s="5" t="s">
        <v>247</v>
      </c>
      <c r="E89" s="11"/>
      <c r="F89" s="45"/>
    </row>
    <row r="90" spans="1:6" ht="34">
      <c r="A90" s="27"/>
      <c r="B90" s="2" t="s">
        <v>165</v>
      </c>
      <c r="C90" s="3" t="s">
        <v>166</v>
      </c>
      <c r="D90" s="5" t="s">
        <v>247</v>
      </c>
      <c r="E90" s="11"/>
      <c r="F90" s="45"/>
    </row>
    <row r="91" spans="1:6" ht="34">
      <c r="A91" s="27"/>
      <c r="B91" s="2" t="s">
        <v>167</v>
      </c>
      <c r="C91" s="3" t="s">
        <v>168</v>
      </c>
      <c r="D91" s="5" t="s">
        <v>247</v>
      </c>
      <c r="E91" s="11"/>
      <c r="F91" s="45"/>
    </row>
    <row r="92" spans="1:6" ht="34">
      <c r="A92" s="27"/>
      <c r="B92" s="2" t="s">
        <v>169</v>
      </c>
      <c r="C92" s="3" t="s">
        <v>170</v>
      </c>
      <c r="D92" s="5" t="s">
        <v>247</v>
      </c>
      <c r="E92" s="11"/>
      <c r="F92" s="45"/>
    </row>
    <row r="93" spans="1:6" ht="34">
      <c r="A93" s="27"/>
      <c r="B93" s="2" t="s">
        <v>171</v>
      </c>
      <c r="C93" s="3" t="s">
        <v>172</v>
      </c>
      <c r="D93" s="5" t="s">
        <v>247</v>
      </c>
      <c r="E93" s="11"/>
      <c r="F93" s="45"/>
    </row>
    <row r="94" spans="1:6" ht="34">
      <c r="A94" s="27"/>
      <c r="B94" s="2" t="s">
        <v>173</v>
      </c>
      <c r="C94" s="3" t="s">
        <v>174</v>
      </c>
      <c r="D94" s="5" t="s">
        <v>247</v>
      </c>
      <c r="E94" s="11"/>
      <c r="F94" s="45"/>
    </row>
    <row r="95" spans="1:6" ht="85">
      <c r="A95" s="27"/>
      <c r="B95" s="2" t="s">
        <v>175</v>
      </c>
      <c r="C95" s="3" t="s">
        <v>176</v>
      </c>
      <c r="D95" s="5" t="s">
        <v>247</v>
      </c>
      <c r="E95" s="11"/>
      <c r="F95" s="45"/>
    </row>
    <row r="96" spans="1:6" ht="34">
      <c r="A96" s="28"/>
      <c r="B96" s="2" t="s">
        <v>177</v>
      </c>
      <c r="C96" s="3" t="s">
        <v>178</v>
      </c>
      <c r="D96" s="5" t="s">
        <v>247</v>
      </c>
      <c r="E96" s="11"/>
      <c r="F96" s="45"/>
    </row>
    <row r="97" spans="1:6" ht="34">
      <c r="A97" s="26" t="s">
        <v>179</v>
      </c>
      <c r="B97" s="2" t="s">
        <v>180</v>
      </c>
      <c r="C97" s="3" t="s">
        <v>181</v>
      </c>
      <c r="D97" s="5" t="s">
        <v>247</v>
      </c>
      <c r="E97" s="11"/>
      <c r="F97" s="45"/>
    </row>
    <row r="98" spans="1:6" ht="34">
      <c r="A98" s="27"/>
      <c r="B98" s="2" t="s">
        <v>182</v>
      </c>
      <c r="C98" s="3" t="s">
        <v>183</v>
      </c>
      <c r="D98" s="5" t="s">
        <v>247</v>
      </c>
      <c r="E98" s="11"/>
      <c r="F98" s="45"/>
    </row>
    <row r="99" spans="1:6" ht="19">
      <c r="A99" s="27"/>
      <c r="B99" s="2" t="s">
        <v>184</v>
      </c>
      <c r="C99" s="3" t="s">
        <v>185</v>
      </c>
      <c r="D99" s="5" t="s">
        <v>247</v>
      </c>
      <c r="E99" s="11"/>
      <c r="F99" s="45"/>
    </row>
    <row r="100" spans="1:6" ht="34">
      <c r="A100" s="27"/>
      <c r="B100" s="2" t="s">
        <v>186</v>
      </c>
      <c r="C100" s="3" t="s">
        <v>187</v>
      </c>
      <c r="D100" s="5" t="s">
        <v>247</v>
      </c>
      <c r="E100" s="11"/>
      <c r="F100" s="45"/>
    </row>
    <row r="101" spans="1:6" ht="34">
      <c r="A101" s="27"/>
      <c r="B101" s="2" t="s">
        <v>188</v>
      </c>
      <c r="C101" s="3" t="s">
        <v>189</v>
      </c>
      <c r="D101" s="5" t="s">
        <v>247</v>
      </c>
      <c r="E101" s="11"/>
      <c r="F101" s="45"/>
    </row>
    <row r="102" spans="1:6" ht="68">
      <c r="A102" s="27"/>
      <c r="B102" s="2" t="s">
        <v>190</v>
      </c>
      <c r="C102" s="3" t="s">
        <v>191</v>
      </c>
      <c r="D102" s="5" t="s">
        <v>247</v>
      </c>
      <c r="E102" s="11"/>
      <c r="F102" s="45"/>
    </row>
    <row r="103" spans="1:6" ht="34">
      <c r="A103" s="27"/>
      <c r="B103" s="2" t="s">
        <v>192</v>
      </c>
      <c r="C103" s="3" t="s">
        <v>193</v>
      </c>
      <c r="D103" s="5" t="s">
        <v>247</v>
      </c>
      <c r="E103" s="11"/>
      <c r="F103" s="45"/>
    </row>
    <row r="104" spans="1:6" ht="19">
      <c r="A104" s="27"/>
      <c r="B104" s="2" t="s">
        <v>194</v>
      </c>
      <c r="C104" s="3" t="s">
        <v>195</v>
      </c>
      <c r="D104" s="5" t="s">
        <v>245</v>
      </c>
      <c r="E104" s="11" t="s">
        <v>260</v>
      </c>
      <c r="F104" s="45"/>
    </row>
    <row r="105" spans="1:6" ht="34">
      <c r="A105" s="27"/>
      <c r="B105" s="2" t="s">
        <v>196</v>
      </c>
      <c r="C105" s="3" t="s">
        <v>197</v>
      </c>
      <c r="D105" s="5" t="s">
        <v>245</v>
      </c>
      <c r="E105" s="11" t="s">
        <v>261</v>
      </c>
      <c r="F105" s="45"/>
    </row>
    <row r="106" spans="1:6" ht="51">
      <c r="A106" s="27"/>
      <c r="B106" s="2" t="s">
        <v>198</v>
      </c>
      <c r="C106" s="3" t="s">
        <v>199</v>
      </c>
      <c r="D106" s="5" t="s">
        <v>247</v>
      </c>
      <c r="E106" s="11"/>
      <c r="F106" s="45"/>
    </row>
    <row r="107" spans="1:6" ht="51">
      <c r="A107" s="28"/>
      <c r="B107" s="2" t="s">
        <v>200</v>
      </c>
      <c r="C107" s="3" t="s">
        <v>201</v>
      </c>
      <c r="D107" s="5" t="s">
        <v>247</v>
      </c>
      <c r="E107" s="11"/>
      <c r="F107" s="45"/>
    </row>
    <row r="108" spans="1:6" ht="34">
      <c r="A108" s="26" t="s">
        <v>202</v>
      </c>
      <c r="B108" s="2" t="s">
        <v>203</v>
      </c>
      <c r="C108" s="3" t="s">
        <v>204</v>
      </c>
      <c r="D108" s="5" t="s">
        <v>247</v>
      </c>
      <c r="E108" s="11"/>
      <c r="F108" s="45"/>
    </row>
    <row r="109" spans="1:6" ht="51">
      <c r="A109" s="27"/>
      <c r="B109" s="2" t="s">
        <v>205</v>
      </c>
      <c r="C109" s="3" t="s">
        <v>206</v>
      </c>
      <c r="D109" s="5" t="s">
        <v>247</v>
      </c>
      <c r="E109" s="11"/>
      <c r="F109" s="45"/>
    </row>
    <row r="110" spans="1:6" ht="51">
      <c r="A110" s="27"/>
      <c r="B110" s="2" t="s">
        <v>207</v>
      </c>
      <c r="C110" s="3" t="s">
        <v>208</v>
      </c>
      <c r="D110" s="5" t="s">
        <v>247</v>
      </c>
      <c r="E110" s="11"/>
      <c r="F110" s="45"/>
    </row>
    <row r="111" spans="1:6" ht="34">
      <c r="A111" s="27"/>
      <c r="B111" s="2" t="s">
        <v>209</v>
      </c>
      <c r="C111" s="3" t="s">
        <v>210</v>
      </c>
      <c r="D111" s="5" t="s">
        <v>247</v>
      </c>
      <c r="E111" s="11"/>
      <c r="F111" s="45"/>
    </row>
    <row r="112" spans="1:6" ht="34">
      <c r="A112" s="27"/>
      <c r="B112" s="2" t="s">
        <v>211</v>
      </c>
      <c r="C112" s="3" t="s">
        <v>212</v>
      </c>
      <c r="D112" s="5" t="s">
        <v>247</v>
      </c>
      <c r="E112" s="11"/>
      <c r="F112" s="45"/>
    </row>
    <row r="113" spans="1:6" ht="51">
      <c r="A113" s="27"/>
      <c r="B113" s="2" t="s">
        <v>213</v>
      </c>
      <c r="C113" s="3" t="s">
        <v>214</v>
      </c>
      <c r="D113" s="5" t="s">
        <v>247</v>
      </c>
      <c r="E113" s="11"/>
      <c r="F113" s="45"/>
    </row>
    <row r="114" spans="1:6" ht="34">
      <c r="A114" s="27"/>
      <c r="B114" s="2" t="s">
        <v>215</v>
      </c>
      <c r="C114" s="3" t="s">
        <v>216</v>
      </c>
      <c r="D114" s="5" t="s">
        <v>247</v>
      </c>
      <c r="E114" s="11"/>
      <c r="F114" s="45"/>
    </row>
    <row r="115" spans="1:6" ht="34">
      <c r="A115" s="27"/>
      <c r="B115" s="2" t="s">
        <v>217</v>
      </c>
      <c r="C115" s="3" t="s">
        <v>218</v>
      </c>
      <c r="D115" s="5" t="s">
        <v>247</v>
      </c>
      <c r="E115" s="11"/>
      <c r="F115" s="45"/>
    </row>
    <row r="116" spans="1:6" ht="34">
      <c r="A116" s="27"/>
      <c r="B116" s="2" t="s">
        <v>219</v>
      </c>
      <c r="C116" s="3" t="s">
        <v>220</v>
      </c>
      <c r="D116" s="5" t="s">
        <v>247</v>
      </c>
      <c r="E116" s="11"/>
      <c r="F116" s="45"/>
    </row>
    <row r="117" spans="1:6" ht="51">
      <c r="A117" s="27"/>
      <c r="B117" s="2" t="s">
        <v>221</v>
      </c>
      <c r="C117" s="3" t="s">
        <v>222</v>
      </c>
      <c r="D117" s="5" t="s">
        <v>247</v>
      </c>
      <c r="E117" s="11"/>
      <c r="F117" s="45"/>
    </row>
    <row r="118" spans="1:6" ht="51">
      <c r="A118" s="27"/>
      <c r="B118" s="2" t="s">
        <v>223</v>
      </c>
      <c r="C118" s="3" t="s">
        <v>224</v>
      </c>
      <c r="D118" s="5" t="s">
        <v>247</v>
      </c>
      <c r="E118" s="11"/>
      <c r="F118" s="45"/>
    </row>
    <row r="119" spans="1:6" ht="51">
      <c r="A119" s="28"/>
      <c r="B119" s="2" t="s">
        <v>225</v>
      </c>
      <c r="C119" s="3" t="s">
        <v>226</v>
      </c>
      <c r="D119" s="5" t="s">
        <v>247</v>
      </c>
      <c r="E119" s="11"/>
      <c r="F119" s="45"/>
    </row>
    <row r="123" spans="1:6">
      <c r="A123" s="25" t="s">
        <v>235</v>
      </c>
      <c r="B123" s="25"/>
      <c r="C123" s="25"/>
      <c r="D123" s="25"/>
      <c r="E123" s="10" t="s">
        <v>236</v>
      </c>
    </row>
    <row r="124" spans="1:6" ht="34">
      <c r="A124" s="18" t="s">
        <v>272</v>
      </c>
      <c r="B124" s="18"/>
      <c r="C124" s="18"/>
      <c r="D124" s="18"/>
      <c r="E124" s="12" t="s">
        <v>273</v>
      </c>
    </row>
    <row r="125" spans="1:6" ht="51">
      <c r="A125" s="22" t="s">
        <v>276</v>
      </c>
      <c r="B125" s="23"/>
      <c r="C125" s="23"/>
      <c r="D125" s="24"/>
      <c r="E125" s="12" t="s">
        <v>274</v>
      </c>
    </row>
    <row r="126" spans="1:6" ht="34">
      <c r="A126" s="22" t="s">
        <v>275</v>
      </c>
      <c r="B126" s="23"/>
      <c r="C126" s="23"/>
      <c r="D126" s="24"/>
      <c r="E126" s="12" t="s">
        <v>277</v>
      </c>
    </row>
    <row r="127" spans="1:6" ht="152" customHeight="1">
      <c r="A127" s="18" t="s">
        <v>279</v>
      </c>
      <c r="B127" s="18"/>
      <c r="C127" s="18"/>
      <c r="D127" s="18"/>
      <c r="E127" s="12" t="s">
        <v>267</v>
      </c>
    </row>
    <row r="128" spans="1:6" ht="53" customHeight="1">
      <c r="A128" s="22" t="s">
        <v>268</v>
      </c>
      <c r="B128" s="23"/>
      <c r="C128" s="23"/>
      <c r="D128" s="24"/>
      <c r="E128" s="12" t="s">
        <v>267</v>
      </c>
    </row>
    <row r="129" spans="1:5" ht="17">
      <c r="A129" s="18" t="s">
        <v>269</v>
      </c>
      <c r="B129" s="18"/>
      <c r="C129" s="18"/>
      <c r="D129" s="18"/>
      <c r="E129" s="12" t="s">
        <v>267</v>
      </c>
    </row>
    <row r="130" spans="1:5" ht="108" customHeight="1">
      <c r="A130" s="19" t="s">
        <v>270</v>
      </c>
      <c r="B130" s="20"/>
      <c r="C130" s="20"/>
      <c r="D130" s="21"/>
      <c r="E130" s="17" t="s">
        <v>271</v>
      </c>
    </row>
  </sheetData>
  <mergeCells count="32">
    <mergeCell ref="A14:A22"/>
    <mergeCell ref="A1:D1"/>
    <mergeCell ref="A2:C2"/>
    <mergeCell ref="A3:C3"/>
    <mergeCell ref="A4:C4"/>
    <mergeCell ref="A5:C5"/>
    <mergeCell ref="A6:C6"/>
    <mergeCell ref="A7:C7"/>
    <mergeCell ref="A8:C8"/>
    <mergeCell ref="A9:C9"/>
    <mergeCell ref="A10:C10"/>
    <mergeCell ref="A11:C11"/>
    <mergeCell ref="A108:A119"/>
    <mergeCell ref="A23:A24"/>
    <mergeCell ref="A25:A27"/>
    <mergeCell ref="A28:A40"/>
    <mergeCell ref="A41:A48"/>
    <mergeCell ref="A49:A50"/>
    <mergeCell ref="A51:A55"/>
    <mergeCell ref="A56:A65"/>
    <mergeCell ref="A66:A69"/>
    <mergeCell ref="A70:A83"/>
    <mergeCell ref="A84:A96"/>
    <mergeCell ref="A97:A107"/>
    <mergeCell ref="A129:D129"/>
    <mergeCell ref="A130:D130"/>
    <mergeCell ref="A126:D126"/>
    <mergeCell ref="A123:D123"/>
    <mergeCell ref="A124:D124"/>
    <mergeCell ref="A125:D125"/>
    <mergeCell ref="A127:D127"/>
    <mergeCell ref="A128:D128"/>
  </mergeCells>
  <conditionalFormatting sqref="D74:D75 D75:E103">
    <cfRule type="expression" dxfId="11" priority="26">
      <formula>$D74="Dérogé"</formula>
    </cfRule>
    <cfRule type="expression" dxfId="10" priority="27">
      <formula>$D74="Conforme"</formula>
    </cfRule>
    <cfRule type="expression" dxfId="9" priority="28">
      <formula>$D74="Non conforme"</formula>
    </cfRule>
  </conditionalFormatting>
  <conditionalFormatting sqref="D74:D75">
    <cfRule type="expression" dxfId="8" priority="25">
      <formula>$D74="Non testé"</formula>
    </cfRule>
  </conditionalFormatting>
  <conditionalFormatting sqref="D14:E73">
    <cfRule type="expression" dxfId="7" priority="1">
      <formula>$D14="Non testé"</formula>
    </cfRule>
    <cfRule type="expression" dxfId="6" priority="2">
      <formula>$D14="Dérogé"</formula>
    </cfRule>
    <cfRule type="expression" dxfId="5" priority="3">
      <formula>$D14="Conforme"</formula>
    </cfRule>
    <cfRule type="expression" dxfId="4" priority="4">
      <formula>$D14="Non conforme"</formula>
    </cfRule>
  </conditionalFormatting>
  <conditionalFormatting sqref="D75:E119">
    <cfRule type="expression" dxfId="3" priority="5">
      <formula>$D75="Non testé"</formula>
    </cfRule>
  </conditionalFormatting>
  <conditionalFormatting sqref="D104:E119">
    <cfRule type="expression" dxfId="2" priority="6">
      <formula>$D104="Dérogé"</formula>
    </cfRule>
    <cfRule type="expression" dxfId="1" priority="7">
      <formula>$D104="Conforme"</formula>
    </cfRule>
    <cfRule type="expression" dxfId="0" priority="8">
      <formula>$D104="Non conforme"</formula>
    </cfRule>
  </conditionalFormatting>
  <dataValidations count="2">
    <dataValidation allowBlank="1" showInputMessage="1" showErrorMessage="1" prompt="Format JJ/MM/AAAA" sqref="D3" xr:uid="{EAAE855C-FFBE-C245-9926-127D9E0F2A39}"/>
    <dataValidation type="list" allowBlank="1" showInputMessage="1" showErrorMessage="1" sqref="D14:D119" xr:uid="{C2A814CB-3B11-CC47-A2E8-8604F4749F93}">
      <formula1>"Conforme,Non conforme,Non applicable,Dérogé,Non testé"</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HeaderToolbar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David FYON</cp:lastModifiedBy>
  <dcterms:created xsi:type="dcterms:W3CDTF">2025-03-05T16:22:31Z</dcterms:created>
  <dcterms:modified xsi:type="dcterms:W3CDTF">2025-09-17T14:56:58Z</dcterms:modified>
</cp:coreProperties>
</file>
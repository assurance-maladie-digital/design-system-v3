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3"/>
  <workbookPr/>
  <mc:AlternateContent xmlns:mc="http://schemas.openxmlformats.org/markup-compatibility/2006">
    <mc:Choice Requires="x15">
      <x15ac:absPath xmlns:x15ac="http://schemas.microsoft.com/office/spreadsheetml/2010/11/ac" url="https://people.ey.com/personal/julien_roche_fabernovel_ey_com/Documents/Documents/CNAM Audits/"/>
    </mc:Choice>
  </mc:AlternateContent>
  <xr:revisionPtr revIDLastSave="0" documentId="8_{F3222149-B70A-4E29-957A-2F96EE0C64A0}" xr6:coauthVersionLast="47" xr6:coauthVersionMax="47" xr10:uidLastSave="{00000000-0000-0000-0000-000000000000}"/>
  <bookViews>
    <workbookView xWindow="76800" yWindow="500" windowWidth="25600" windowHeight="26640" tabRatio="500" xr2:uid="{00000000-000D-0000-FFFF-FFFF00000000}"/>
  </bookViews>
  <sheets>
    <sheet name="ExternalLinks"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9" i="1" l="1"/>
  <c r="D8" i="1"/>
  <c r="D7" i="1"/>
  <c r="D6" i="1"/>
  <c r="D5" i="1"/>
  <c r="D10" i="1" l="1"/>
  <c r="D11" i="1" s="1"/>
</calcChain>
</file>

<file path=xl/sharedStrings.xml><?xml version="1.0" encoding="utf-8"?>
<sst xmlns="http://schemas.openxmlformats.org/spreadsheetml/2006/main" count="399" uniqueCount="289">
  <si>
    <t>Composant : ExternalLinks</t>
  </si>
  <si>
    <t>Audit</t>
  </si>
  <si>
    <t>Audit V1</t>
  </si>
  <si>
    <t>Correction post audit v1 - (voir - https://github.com/assurance-maladie-digital/design-system-v3/pull/808)</t>
  </si>
  <si>
    <t>Date</t>
  </si>
  <si>
    <t>21/07/2025</t>
  </si>
  <si>
    <t>Version</t>
  </si>
  <si>
    <t>0.0.15-alpha</t>
  </si>
  <si>
    <t>1.0.3</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</si>
  <si>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</si>
  <si>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</si>
  <si>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</si>
  <si>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</si>
  <si>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</si>
  <si>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</si>
  <si>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</si>
  <si>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</si>
  <si>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</si>
  <si>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</si>
  <si>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</si>
  <si>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</si>
  <si>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</si>
  <si>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</si>
  <si>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</si>
  <si>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</si>
  <si>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</si>
  <si>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1.2</t>
  </si>
  <si>
    <t>Chaque image de décoration est-elle correctement ignorée par les technologies d’assistance ?</t>
  </si>
  <si>
    <t>Non conforme</t>
  </si>
  <si>
    <t>Les icônes du composants ne portent aucune information. Cependant, bien qu'elles possèdent un attribut aria-hidden="true", il ne faut pas que l'élément possède le role "img".</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</si>
  <si>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</si>
  <si>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</si>
  <si>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</si>
  <si>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</si>
  <si>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</si>
  <si>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</si>
  <si>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</si>
  <si>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</si>
  <si>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</si>
  <si>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</si>
  <si>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</si>
  <si>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</si>
  <si>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</si>
  <si>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</si>
  <si>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</si>
  <si>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</si>
  <si>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</si>
  <si>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</si>
  <si>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</si>
  <si>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</si>
  <si>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</si>
  <si>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</si>
  <si>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</si>
  <si>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</si>
  <si>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Bouton :
- normal : fond bleu et texte blanc 14px =&gt; 5,6 (conforme)
- hover : fond bleu et texte blanc 14px =&gt; 5,2 (conforme)
- focus + menu ouvert : fond bleu et texte blanc 14px =&gt; 4,4 (non conforme =&gt; ratio minimum de 4,5)
Menu :
- normal : fond blanc et texte noir 16px =&gt; 16,07 (conforme)
- hover : fond blanc et texte noir 16px =&gt; 15,1 (conforme)
- focus : fond blanc et texte noir 16px =&gt; 12,8 (conforme)</t>
  </si>
  <si>
    <t>utilisation d'un couleur de fond plus foncé</t>
  </si>
  <si>
    <t>3.3</t>
  </si>
  <si>
    <t>Dans chaque page web, les couleurs utilisées dans les composants d’interface ou les éléments graphiques porteurs d’informations sont-elles suffisamment contrastées (hors cas particuliers) ?</t>
  </si>
  <si>
    <t>Bouton :
- normal : fond bleu et icône blanche =&gt; 5,6 (conforme)
- hover : fond bleu et icône blanche =&gt; 5,2 (conforme)
- focus + menu ouvert : fond bleu et icône blanche =&gt; 4,4 (non conforme =&gt; ratio minimum de 4,5)
Menu :
- normal : fond blanc et icône noire =&gt; 16,07 (conforme)
- hover : fond blanc et icône noire =&gt; 15,1 (conforme)
- focus : fond blanc et icône noire =&gt; 12,8 (conforme)
=&gt; Le focus n'est pas suffisant avec l'arrière plan des autres items, contraste de 1,7 au lieu de 3</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</si>
  <si>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</si>
  <si>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</si>
  <si>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</si>
  <si>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</si>
  <si>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</si>
  <si>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</si>
  <si>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</si>
  <si>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</si>
  <si>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</si>
  <si>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</si>
  <si>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</si>
  <si>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</si>
  <si>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</si>
  <si>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</si>
  <si>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</si>
  <si>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</si>
  <si>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</si>
  <si>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</si>
  <si>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</si>
  <si>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</si>
  <si>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</si>
  <si>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</si>
  <si>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</si>
  <si>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</si>
  <si>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</si>
  <si>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</si>
  <si>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</si>
  <si>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</si>
  <si>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</si>
  <si>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</si>
  <si>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</si>
  <si>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</si>
  <si>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</si>
  <si>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</si>
  <si>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</si>
  <si>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</si>
  <si>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</si>
  <si>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</si>
  <si>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</si>
  <si>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</si>
  <si>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</si>
  <si>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</si>
  <si>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</si>
  <si>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</si>
  <si>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</si>
  <si>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</si>
  <si>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</si>
  <si>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C'est au contributeur de s'assurer que le lien qu'il indique est explicite.</t>
  </si>
  <si>
    <t>6.2</t>
  </si>
  <si>
    <t>Dans chaque page web, chaque lien a-t-il un intitulé ?</t>
  </si>
  <si>
    <t>Conforme</t>
  </si>
  <si>
    <t>Les items du menu sont des liens et possèdent tous des intitulés.</t>
  </si>
  <si>
    <t>SCRIPTS</t>
  </si>
  <si>
    <t>7.1</t>
  </si>
  <si>
    <t>Chaque script est-il, si nécessaire, compatible avec les technologies d’assistance ?</t>
  </si>
  <si>
    <t>Points positifs :
- L'élément déclencheur a le rôle "button" et possède les attributs aria-haspopup="menu", aria-expanded="true" ou "false" selon si le sous-menu est ouvert ou non
- Un lien est fait entre le menu et le bouton (aria-controls)
Points négatifs :
- Voir critère 7.3 (gestion du focus du premier menu item)
- Voir critère 10.9 (nom accessible du bouton)
- Lorsque le lecteur d'écran est lancé, il est impossible d'accéder aux autres items que le premier =&gt; voir comment implémenter le pattern Menu Button sur le site du W3C (gestion du focus + gestion de la liste ul/li/a =&gt; les balises a ne doivent pas être directement enfant d'une div listbox)
- Le menu n'a pas le rôle "menu"</t>
  </si>
  <si>
    <t>utilisation du tag nav, Gestion avec un roving tabindex</t>
  </si>
  <si>
    <t>7.2</t>
  </si>
  <si>
    <t>Pour chaque script ayant une alternative, cette alternative est-elle pertinente ?</t>
  </si>
  <si>
    <t>7.3</t>
  </si>
  <si>
    <t>Chaque script est-il contrôlable par le clavier et par tout dispositif de pointage (hors cas particuliers) ?</t>
  </si>
  <si>
    <t>Les items sont accessibles par souris et clavier.
Si clavier : touches "Entrée" ou "Espace" pour activer le sous-menu puis flèche du bas ou flèche du haut. Touche "Echap" pour fermer le sous-menu.
En revanche, il faut qu'à l'ouverture du sous-menu, le premier item soit prenne le focus.</t>
  </si>
  <si>
    <t>Gestion avec un roving tabindex</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</si>
  <si>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</si>
  <si>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</si>
  <si>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</si>
  <si>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</si>
  <si>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</si>
  <si>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</si>
  <si>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</si>
  <si>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</si>
  <si>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</si>
  <si>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Erreurs remontées par le validateur W3C (code source avec le menu ouvert) :
- Duplicate ID external-link-btn.
- Attribute tile not allowed on element div at this point.
- Attribute target not allowed on element div at this point.
=&gt; Liste à puce sans li (voir critère 9.3)</t>
  </si>
  <si>
    <t>retrais des tags</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</si>
  <si>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</si>
  <si>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</si>
  <si>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</si>
  <si>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</si>
  <si>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</si>
  <si>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</si>
  <si>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</si>
  <si>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</si>
  <si>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</si>
  <si>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</si>
  <si>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</si>
  <si>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</si>
  <si>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</si>
  <si>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</si>
  <si>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</si>
  <si>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</si>
  <si>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</si>
  <si>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</si>
  <si>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</si>
  <si>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</si>
  <si>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</si>
  <si>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</si>
  <si>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</si>
  <si>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Les liens devraient etre considérés comme une liste. Les menuitems sont des balises a qui ont un parent avec un rôle listbox =&gt; c'est invalide et probablement ce qui entraîne l'impossibilité d'utiliser le composant via un lecteur d'écran (voir critère 7.1).</t>
  </si>
  <si>
    <t>utilisation des tags ul - li</t>
  </si>
  <si>
    <t>9.4</t>
  </si>
  <si>
    <t>Dans chaque page web, chaque citation est-elle correctement indiquée ?</t>
  </si>
  <si>
    <t>PRÉSENTATION</t>
  </si>
  <si>
    <t>10.1</t>
  </si>
  <si>
    <t>Dans le site web, des feuilles de styles sont-elles utilisées pour contrôler la présentation de l’information ?</t>
  </si>
  <si>
    <t xml:space="preserve">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
</t>
  </si>
  <si>
    <t>10.2</t>
  </si>
  <si>
    <t>Dans chaque page web, le contenu visible porteur d’information reste-t-il présent lorsque les feuilles de styles sont désactivées ?</t>
  </si>
  <si>
    <t>Visibilité du bouton, de son libellé et de son icône.
Le menu est également visible avec ses items</t>
  </si>
  <si>
    <t>10.3</t>
  </si>
  <si>
    <t>Dans chaque page web, l’information reste-t-elle compréhensible lorsque les feuilles de styles sont désactivées ?</t>
  </si>
  <si>
    <t>L'information des items du menu n'est pas compréhensible car elle n'est pas présentée sous forme de liste (voir critère 9.3)</t>
  </si>
  <si>
    <t>10.4</t>
  </si>
  <si>
    <t>Dans chaque page web, le texte reste-t-il lisible lorsque la taille des caractères est augmentée jusqu’à 200%, au moins (hors cas particuliers) ?</t>
  </si>
  <si>
    <t>Testé en mode "text only" ou normal. Le texte reste lisible à 200%.</t>
  </si>
  <si>
    <t>10.5</t>
  </si>
  <si>
    <t>Dans chaque page web, les déclarations CSS de couleurs de fond d’élément et de police sont-elles correctement utilisées ?</t>
  </si>
  <si>
    <t>background-color sur v-list et sur le bouton déclencheur</t>
  </si>
  <si>
    <t>10.6</t>
  </si>
  <si>
    <t>Dans chaque page web, chaque lien dont la nature n’est pas évidente est-il visible par rapport au texte environnant ?</t>
  </si>
  <si>
    <t>Il y a une indication visuelle au survol et autre que la couleur au focus.</t>
  </si>
  <si>
    <t>10.7</t>
  </si>
  <si>
    <t>Dans chaque page web, pour chaque élément recevant le focus, la prise de focus est-elle visible ?</t>
  </si>
  <si>
    <t>voir 3.2 et 3.3</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</si>
  <si>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</si>
  <si>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</si>
  <si>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</si>
  <si>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</si>
  <si>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Flèche du bouton (non conforme) : La flèche indique l'apparition complète ou non du bouton. Mais si le nom accessible est présent sans cette action, il n'y pas besoin de gérer une solution secondaire à la forme. Dans le cas présent, on a un "aria-label="external-link-btn"" donc le nom rendu par le lecteur d'écran est "external-link-btn". Il faut  soit reprendre le libellé du bouton via aria-label, soit indiquer l'id du contenu du libellé via un aria-labelledby.
Lien externe (conforme) : Une icône existe pour les menu item qui sont des liens externes (autrement dit, avec ouverture dans une nouvelle fenêtre). La présence du "target="_blank"" suffit à répondre au critère.</t>
  </si>
  <si>
    <t>Utilisation du composant SyIcon</t>
  </si>
  <si>
    <t>10.10</t>
  </si>
  <si>
    <t>Dans chaque page web, l’information ne doit pas être donnée par la forme, taille ou position uniquement. Cette règle est-elle implémentée de façon pertinente ?</t>
  </si>
  <si>
    <t>Invalidé par 10.9</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</si>
  <si>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</si>
  <si>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</si>
  <si>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Testé avec le composant par défaut du DS =&gt; aucun troncage ni perte de fonctionnalité</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</si>
  <si>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</si>
  <si>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</si>
  <si>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</si>
  <si>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</si>
  <si>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</si>
  <si>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Deux contenus additionnels concernés : le déploiement du bouton avec le libellé et le menu au clic. Dans les 2 cas, les contenus peuvent disparaître via la touche "Echap".</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</si>
  <si>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</si>
  <si>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</si>
  <si>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</si>
  <si>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</si>
  <si>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</si>
  <si>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</si>
  <si>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</si>
  <si>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</si>
  <si>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</si>
  <si>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</si>
  <si>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</si>
  <si>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</si>
  <si>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</si>
  <si>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</si>
  <si>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</si>
  <si>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</si>
  <si>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</si>
  <si>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</si>
  <si>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</si>
  <si>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</si>
  <si>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</si>
  <si>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</si>
  <si>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</si>
  <si>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</si>
  <si>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</si>
  <si>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</si>
  <si>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</si>
  <si>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</si>
  <si>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</si>
  <si>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</si>
  <si>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</si>
  <si>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</si>
  <si>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</si>
  <si>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</si>
  <si>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</si>
  <si>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</si>
  <si>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</si>
  <si>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</si>
  <si>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</si>
  <si>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</si>
  <si>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</si>
  <si>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</si>
  <si>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</si>
  <si>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</si>
  <si>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</si>
  <si>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</si>
  <si>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Le composant n'est tabulable qu'une fois donc il n'y a pas de gestion de tabulation pour lui-même.</t>
  </si>
  <si>
    <t>12.9</t>
  </si>
  <si>
    <t>Dans chaque page web, la navigation ne doit pas contenir de piège au clavier. Cette règle est-elle respectée ?</t>
  </si>
  <si>
    <t>Navigation non conforme au clavier (obligé de faire tabulation après l'apparition du menu) =&gt; voir critère 7.3.
En revanche, lorsque l'on a le focus sur un item du menu, on peut naviguer correctement via flèche haut/bas.</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</si>
  <si>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</si>
  <si>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</si>
  <si>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</si>
  <si>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</si>
  <si>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</si>
  <si>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</si>
  <si>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</si>
  <si>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</si>
  <si>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</si>
  <si>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</si>
  <si>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</si>
  <si>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</si>
  <si>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</si>
  <si>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</si>
  <si>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</si>
  <si>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</si>
  <si>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</si>
  <si>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</si>
  <si>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</si>
  <si>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</si>
  <si>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</si>
  <si>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</si>
  <si>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</si>
  <si>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</si>
  <si>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</si>
  <si>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</si>
  <si>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</si>
  <si>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</si>
  <si>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</si>
  <si>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</si>
  <si>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</si>
  <si>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Le pattern du composant est "Menu button".
Les interactions claviers sont :
    - Entrée : ouvre le menu et place le focus sur le premier élément du menu;
    - Espace : ouvre le menu et place le focus sur le premier élément du menu;
    - (Facultatif) Down Arrow: ouvre le menu et déplace le focus sur le premier élément du menu;
    - (Facultatif) Up Arrow: ouvre le menu et déplace le focus sur le dernier élément du menu;</t>
  </si>
  <si>
    <t>https://www.w3.org/WAI/ARIA/apg/patterns/menu-button/</t>
  </si>
  <si>
    <t>L'élément déclencheur doit avoir le rôle "button" et posséder l'attribut aria-haspopup à "true" ou "menu"</t>
  </si>
  <si>
    <t>Lorsque le menu est affiché, l'élément déclencheur doit posséder l'attribut aria-expanded à true (ou false si menu fermé)</t>
  </si>
  <si>
    <t>Le menu doit avoir le rôle menu</t>
  </si>
  <si>
    <t>Un lien est fait entre le bouton et le menu en mettant l'attribut aria-controls sur le boutton qui possède l'identifiant du menu.</t>
  </si>
  <si>
    <t xml:space="preserve"> - https://www.w3.org/WAI/ARIA/apg/patterns/menu-button/examples/menu-button-actions/
- https://www.w3.org/WAI/ARIA/apg/patterns/menu-button/examples/menu-button-actions-active-descendant/
- https://www.w3.org/WAI/ARIA/apg/practices/keyboard-interface/#kbd_focus_activedescendant</t>
  </si>
  <si>
    <t>La gestion du focus doit se faire, soit via element.focus() (donc présence de tabindex="-1" sur les menu items) soit via l'attribut aria-activedescendant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</si>
</sst>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
  </numFmts>
  <fonts count="19">
    <font>
      <sz val="12"/>
      <color theme="1"/>
      <name val="Aptos Narrow"/>
      <family val="2"/>
      <charset val="1"/>
    </font>
    <font>
      <u/>
      <sz val="12"/>
      <color theme="10"/>
      <name val="Aptos Narrow"/>
      <family val="2"/>
      <charset val="1"/>
    </font>
    <font>
      <sz val="12"/>
      <color theme="1"/>
      <name val="Aptos Narrow"/>
      <charset val="1"/>
    </font>
    <font>
      <b/>
      <sz val="12"/>
      <color rgb="FFFFFFFF"/>
      <name val="Aptos Narrow"/>
      <charset val="1"/>
    </font>
    <font>
      <b/>
      <sz val="14"/>
      <name val="Aptos Narrow"/>
      <charset val="1"/>
    </font>
    <font>
      <b/>
      <sz val="14"/>
      <color theme="1"/>
      <name val="Aptos Narrow"/>
      <charset val="1"/>
    </font>
    <font>
      <sz val="14"/>
      <color theme="1"/>
      <name val="Aptos Narrow"/>
      <charset val="1"/>
    </font>
    <font>
      <sz val="14"/>
      <name val="Aptos Narrow"/>
      <charset val="1"/>
    </font>
    <font>
      <sz val="12"/>
      <name val="Aptos Narrow"/>
      <charset val="1"/>
    </font>
    <font>
      <b/>
      <sz val="14"/>
      <color theme="0"/>
      <name val="Aptos Narrow"/>
      <family val="2"/>
      <charset val="1"/>
    </font>
    <font>
      <b/>
      <sz val="12"/>
      <color rgb="FF000000"/>
      <name val="Aptos Narrow"/>
      <charset val="1"/>
    </font>
    <font>
      <sz val="12"/>
      <color rgb="FF000000"/>
      <name val="Aptos Narrow"/>
      <charset val="1"/>
    </font>
    <font>
      <sz val="14"/>
      <color theme="1"/>
      <name val="Aptos Narrow"/>
      <family val="2"/>
      <charset val="1"/>
    </font>
    <font>
      <sz val="12"/>
      <color rgb="FFFF0000"/>
      <name val="Aptos Narrow"/>
      <charset val="1"/>
    </font>
    <font>
      <sz val="12"/>
      <color theme="0"/>
      <name val="Aptos Narrow"/>
      <charset val="1"/>
    </font>
    <font>
      <sz val="12"/>
      <color theme="1"/>
      <name val="Aptos Narrow"/>
      <family val="2"/>
      <charset val="1"/>
    </font>
    <font>
      <sz val="12"/>
      <color theme="1"/>
      <name val="Aptos Narrow"/>
      <scheme val="minor"/>
    </font>
    <font>
      <sz val="12"/>
      <color rgb="FF275317"/>
      <name val="Aptos Narrow"/>
    </font>
    <font>
      <sz val="12"/>
      <color theme="9" tint="-0.499984740745262"/>
      <name val="Aptos Narrow"/>
      <charset val="1"/>
    </font>
  </fonts>
  <fills count="5">
    <fill>
      <patternFill patternType="none"/>
    </fill>
    <fill>
      <patternFill patternType="gray125"/>
    </fill>
    <fill>
      <patternFill patternType="solid">
        <fgColor rgb="FF000091"/>
        <bgColor rgb="FF000080"/>
      </patternFill>
    </fill>
    <fill>
      <patternFill patternType="solid">
        <fgColor theme="0"/>
        <bgColor rgb="FFFFFFCC"/>
      </patternFill>
    </fill>
    <fill>
      <patternFill patternType="solid">
        <fgColor rgb="FFC6EFCE"/>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4">
    <xf numFmtId="0" fontId="0" fillId="0" borderId="0"/>
    <xf numFmtId="164" fontId="15" fillId="0" borderId="0" applyBorder="0" applyProtection="0"/>
    <xf numFmtId="0" fontId="1" fillId="0" borderId="0" applyBorder="0" applyProtection="0"/>
    <xf numFmtId="0" fontId="1" fillId="0" borderId="0" applyBorder="0" applyProtection="0"/>
  </cellStyleXfs>
  <cellXfs count="42">
    <xf numFmtId="0" fontId="0" fillId="0" borderId="0" xfId="0"/>
    <xf numFmtId="0" fontId="2" fillId="0" borderId="1" xfId="0" applyFont="1" applyBorder="1" applyAlignment="1">
      <alignment horizontal="left" vertical="top" wrapText="1"/>
    </xf>
    <xf numFmtId="0" fontId="2" fillId="0" borderId="0" xfId="0" applyFont="1"/>
    <xf numFmtId="0" fontId="2" fillId="0" borderId="0" xfId="0" applyFont="1" applyAlignment="1">
      <alignment wrapText="1"/>
    </xf>
    <xf numFmtId="0" fontId="5" fillId="0" borderId="1" xfId="0" applyFont="1" applyBorder="1" applyAlignment="1">
      <alignment horizontal="right"/>
    </xf>
    <xf numFmtId="0" fontId="6" fillId="0" borderId="0" xfId="0" applyFont="1" applyAlignment="1">
      <alignment wrapText="1"/>
    </xf>
    <xf numFmtId="0" fontId="6" fillId="0" borderId="0" xfId="0" applyFont="1"/>
    <xf numFmtId="14" fontId="6" fillId="0" borderId="1" xfId="0" applyNumberFormat="1" applyFont="1" applyBorder="1"/>
    <xf numFmtId="0" fontId="6" fillId="0" borderId="1" xfId="0" applyFont="1" applyBorder="1" applyAlignment="1">
      <alignment horizontal="right" vertical="top"/>
    </xf>
    <xf numFmtId="0" fontId="6" fillId="0" borderId="1" xfId="0" applyFont="1" applyBorder="1" applyAlignment="1">
      <alignment horizontal="right"/>
    </xf>
    <xf numFmtId="0" fontId="6" fillId="0" borderId="1" xfId="0" applyFont="1" applyBorder="1"/>
    <xf numFmtId="164" fontId="5" fillId="0" borderId="1" xfId="1" applyFont="1" applyBorder="1" applyProtection="1"/>
    <xf numFmtId="164" fontId="5" fillId="0" borderId="1" xfId="0" applyNumberFormat="1" applyFont="1" applyBorder="1"/>
    <xf numFmtId="0" fontId="8" fillId="0" borderId="0" xfId="0" applyFont="1" applyAlignment="1">
      <alignment horizontal="center" vertical="center" wrapText="1"/>
    </xf>
    <xf numFmtId="0" fontId="9" fillId="2" borderId="1" xfId="0" applyFont="1" applyFill="1" applyBorder="1"/>
    <xf numFmtId="0" fontId="9" fillId="2" borderId="2" xfId="0" applyFont="1" applyFill="1" applyBorder="1"/>
    <xf numFmtId="0" fontId="9" fillId="2" borderId="3" xfId="0" applyFont="1" applyFill="1" applyBorder="1" applyAlignment="1">
      <alignment wrapText="1"/>
    </xf>
    <xf numFmtId="0" fontId="10" fillId="0" borderId="4" xfId="0" applyFont="1" applyBorder="1" applyAlignment="1">
      <alignment horizontal="center" vertical="center" wrapText="1"/>
    </xf>
    <xf numFmtId="0" fontId="11" fillId="0" borderId="4" xfId="0" applyFont="1" applyBorder="1" applyAlignment="1">
      <alignment horizontal="left" vertical="center" wrapText="1"/>
    </xf>
    <xf numFmtId="0" fontId="12" fillId="3" borderId="5" xfId="0" applyFont="1" applyFill="1" applyBorder="1" applyAlignment="1">
      <alignment horizontal="left" vertical="top"/>
    </xf>
    <xf numFmtId="0" fontId="13" fillId="0" borderId="1" xfId="0" applyFont="1" applyBorder="1" applyAlignment="1">
      <alignment horizontal="left" vertical="top" wrapText="1"/>
    </xf>
    <xf numFmtId="0" fontId="14" fillId="2" borderId="1" xfId="0" applyFont="1" applyFill="1" applyBorder="1"/>
    <xf numFmtId="0" fontId="1" fillId="0" borderId="1" xfId="2" applyBorder="1" applyAlignment="1" applyProtection="1">
      <alignment vertical="top"/>
    </xf>
    <xf numFmtId="0" fontId="2" fillId="0" borderId="0" xfId="0" quotePrefix="1" applyFont="1" applyAlignment="1">
      <alignment wrapText="1"/>
    </xf>
    <xf numFmtId="0" fontId="2" fillId="0" borderId="1" xfId="0" quotePrefix="1" applyFont="1" applyBorder="1" applyAlignment="1">
      <alignment horizontal="left" vertical="top" wrapText="1"/>
    </xf>
    <xf numFmtId="0" fontId="16" fillId="0" borderId="1" xfId="0" applyFont="1" applyBorder="1" applyAlignment="1">
      <alignment horizontal="left" vertical="top" wrapText="1"/>
    </xf>
    <xf numFmtId="0" fontId="1" fillId="0" borderId="1" xfId="2" applyBorder="1" applyProtection="1"/>
    <xf numFmtId="0" fontId="3" fillId="2" borderId="0" xfId="0" applyFont="1" applyFill="1" applyAlignment="1">
      <alignment horizontal="center" vertical="center" wrapText="1"/>
    </xf>
    <xf numFmtId="0" fontId="4" fillId="0" borderId="1" xfId="0" applyFont="1" applyBorder="1" applyAlignment="1">
      <alignment horizontal="left" vertical="center" wrapText="1"/>
    </xf>
    <xf numFmtId="0" fontId="7" fillId="0" borderId="1" xfId="0" applyFont="1" applyBorder="1" applyAlignment="1">
      <alignment horizontal="left" vertical="top" wrapText="1"/>
    </xf>
    <xf numFmtId="0" fontId="4" fillId="0" borderId="1" xfId="0" applyFont="1" applyBorder="1" applyAlignment="1">
      <alignment horizontal="left" vertical="top" wrapText="1"/>
    </xf>
    <xf numFmtId="0" fontId="3" fillId="2" borderId="1" xfId="0" applyFont="1" applyFill="1" applyBorder="1" applyAlignment="1">
      <alignment horizontal="center" vertical="center" textRotation="90" wrapText="1"/>
    </xf>
    <xf numFmtId="0" fontId="14" fillId="2" borderId="1" xfId="0" applyFont="1" applyFill="1" applyBorder="1" applyAlignment="1">
      <alignment horizontal="left"/>
    </xf>
    <xf numFmtId="0" fontId="2" fillId="0" borderId="7" xfId="0" applyFont="1" applyBorder="1" applyAlignment="1">
      <alignment wrapText="1"/>
    </xf>
    <xf numFmtId="0" fontId="2" fillId="0" borderId="8" xfId="0" applyFont="1" applyBorder="1" applyAlignment="1">
      <alignment wrapText="1"/>
    </xf>
    <xf numFmtId="0" fontId="2" fillId="0" borderId="6" xfId="0" applyFont="1" applyBorder="1" applyAlignment="1">
      <alignment horizontal="center" vertical="top" wrapText="1"/>
    </xf>
    <xf numFmtId="0" fontId="2" fillId="0" borderId="1" xfId="0" applyFont="1" applyBorder="1" applyAlignment="1">
      <alignment horizontal="left" vertical="top" wrapText="1"/>
    </xf>
    <xf numFmtId="0" fontId="2" fillId="0" borderId="6" xfId="0" applyFont="1" applyBorder="1" applyAlignment="1">
      <alignment wrapText="1"/>
    </xf>
    <xf numFmtId="0" fontId="2" fillId="4" borderId="1" xfId="0" applyFont="1" applyFill="1" applyBorder="1" applyAlignment="1">
      <alignment horizontal="left" vertical="top" wrapText="1"/>
    </xf>
    <xf numFmtId="0" fontId="17" fillId="4" borderId="1" xfId="0" applyFont="1" applyFill="1" applyBorder="1" applyAlignment="1">
      <alignment horizontal="left" vertical="top" wrapText="1"/>
    </xf>
    <xf numFmtId="0" fontId="18" fillId="4" borderId="1" xfId="0" applyFont="1" applyFill="1" applyBorder="1" applyAlignment="1">
      <alignment horizontal="left" vertical="top" wrapText="1"/>
    </xf>
    <xf numFmtId="14" fontId="6" fillId="0" borderId="1" xfId="0" applyNumberFormat="1" applyFont="1" applyBorder="1" applyAlignment="1">
      <alignment horizontal="right"/>
    </xf>
  </cellXfs>
  <cellStyles count="4">
    <cellStyle name="Hyperlink 1" xfId="3" xr:uid="{00000000-0005-0000-0000-000006000000}"/>
    <cellStyle name="Lien hypertexte" xfId="2" builtinId="8"/>
    <cellStyle name="Normal" xfId="0" builtinId="0"/>
    <cellStyle name="Pourcentage" xfId="1" builtinId="5"/>
  </cellStyles>
  <dxfs count="10">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78206E"/>
      </font>
      <fill>
        <patternFill>
          <bgColor theme="8" tint="0.7998901333658864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91"/>
      <rgbColor rgb="FF808000"/>
      <rgbColor rgb="FF800080"/>
      <rgbColor rgb="FF008080"/>
      <rgbColor rgb="FFC0C0C0"/>
      <rgbColor rgb="FF808080"/>
      <rgbColor rgb="FF9999FF"/>
      <rgbColor rgb="FF78206E"/>
      <rgbColor rgb="FFFFFFCC"/>
      <rgbColor rgb="FFCCFFFF"/>
      <rgbColor rgb="FF660066"/>
      <rgbColor rgb="FFFF8080"/>
      <rgbColor rgb="FF0066CC"/>
      <rgbColor rgb="FFF2CF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467886"/>
      <rgbColor rgb="FF969696"/>
      <rgbColor rgb="FF003366"/>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3.org/WAI/ARIA/apg/patterns/menu-button/" TargetMode="External"/><Relationship Id="rId2" Type="http://schemas.openxmlformats.org/officeDocument/2006/relationships/hyperlink" Target="https://www.w3.org/WAI/ARIA/apg/patterns/menu-button/" TargetMode="External"/><Relationship Id="rId1" Type="http://schemas.openxmlformats.org/officeDocument/2006/relationships/hyperlink" Target="https://www.w3.org/WAI/ARIA/apg/patterns/menu-button/" TargetMode="External"/><Relationship Id="rId5" Type="http://schemas.openxmlformats.org/officeDocument/2006/relationships/hyperlink" Target="https://www.w3.org/WAI/ARIA/apg/patterns/menu-button/" TargetMode="External"/><Relationship Id="rId4" Type="http://schemas.openxmlformats.org/officeDocument/2006/relationships/hyperlink" Target="https://www.w3.org/WAI/ARIA/apg/patterns/menu-butt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9"/>
  <sheetViews>
    <sheetView tabSelected="1" zoomScale="90" zoomScaleNormal="90" workbookViewId="0">
      <selection activeCell="E6" sqref="E6"/>
    </sheetView>
  </sheetViews>
  <sheetFormatPr defaultColWidth="10.875" defaultRowHeight="15" customHeight="1"/>
  <cols>
    <col min="1" max="1" width="15" style="2" customWidth="1"/>
    <col min="2" max="2" width="10.375" style="2" customWidth="1"/>
    <col min="3" max="3" width="59.875" style="2" customWidth="1"/>
    <col min="4" max="4" width="15.125" style="2" customWidth="1"/>
    <col min="5" max="5" width="106.625" style="2" customWidth="1"/>
    <col min="6" max="6" width="18.625" style="3" customWidth="1"/>
    <col min="7" max="16384" width="10.875" style="2"/>
  </cols>
  <sheetData>
    <row r="1" spans="1:6" ht="31.5" customHeight="1">
      <c r="A1" s="27" t="s">
        <v>0</v>
      </c>
      <c r="B1" s="27"/>
      <c r="C1" s="27"/>
      <c r="D1" s="27"/>
    </row>
    <row r="2" spans="1:6" s="6" customFormat="1" ht="17.25" customHeight="1">
      <c r="A2" s="28" t="s">
        <v>1</v>
      </c>
      <c r="B2" s="28"/>
      <c r="C2" s="28"/>
      <c r="D2" s="4" t="s">
        <v>2</v>
      </c>
      <c r="E2" s="4" t="s">
        <v>3</v>
      </c>
      <c r="F2" s="5"/>
    </row>
    <row r="3" spans="1:6" ht="17.25" customHeight="1">
      <c r="A3" s="29" t="s">
        <v>4</v>
      </c>
      <c r="B3" s="29"/>
      <c r="C3" s="29"/>
      <c r="D3" s="7">
        <v>45746</v>
      </c>
      <c r="E3" s="41" t="s">
        <v>5</v>
      </c>
    </row>
    <row r="4" spans="1:6" ht="17.25" customHeight="1">
      <c r="A4" s="29" t="s">
        <v>6</v>
      </c>
      <c r="B4" s="29"/>
      <c r="C4" s="29"/>
      <c r="D4" s="8" t="s">
        <v>7</v>
      </c>
      <c r="E4" s="9" t="s">
        <v>8</v>
      </c>
    </row>
    <row r="5" spans="1:6" ht="15.75" customHeight="1">
      <c r="A5" s="29" t="s">
        <v>9</v>
      </c>
      <c r="B5" s="29"/>
      <c r="C5" s="29"/>
      <c r="D5" s="10">
        <f>COUNTIF($D$14:$D$119,"Conforme")</f>
        <v>9</v>
      </c>
      <c r="E5" s="10">
        <v>21</v>
      </c>
    </row>
    <row r="6" spans="1:6" ht="18.75" customHeight="1">
      <c r="A6" s="29" t="s">
        <v>10</v>
      </c>
      <c r="B6" s="29"/>
      <c r="C6" s="29"/>
      <c r="D6" s="10">
        <f>COUNTIF($D$14:$D$119,"Non conforme")</f>
        <v>12</v>
      </c>
      <c r="E6" s="10">
        <v>0</v>
      </c>
    </row>
    <row r="7" spans="1:6" ht="18.75" customHeight="1">
      <c r="A7" s="29" t="s">
        <v>11</v>
      </c>
      <c r="B7" s="29"/>
      <c r="C7" s="29"/>
      <c r="D7" s="10">
        <f>COUNTIF($D$14:$D$119,"Non applicable")</f>
        <v>85</v>
      </c>
      <c r="E7" s="10">
        <v>85</v>
      </c>
    </row>
    <row r="8" spans="1:6" ht="18.75" customHeight="1">
      <c r="A8" s="29" t="s">
        <v>12</v>
      </c>
      <c r="B8" s="29"/>
      <c r="C8" s="29"/>
      <c r="D8" s="10">
        <f>COUNTIF($D$14:$D$119,"Dérogé")</f>
        <v>0</v>
      </c>
      <c r="E8" s="10">
        <v>0</v>
      </c>
    </row>
    <row r="9" spans="1:6" ht="18.75" customHeight="1">
      <c r="A9" s="29" t="s">
        <v>13</v>
      </c>
      <c r="B9" s="29"/>
      <c r="C9" s="29"/>
      <c r="D9" s="10">
        <f>COUNTIF($D$14:$D$119,"Non testé")</f>
        <v>0</v>
      </c>
      <c r="E9" s="10">
        <v>0</v>
      </c>
    </row>
    <row r="10" spans="1:6" ht="18.75" customHeight="1">
      <c r="A10" s="30" t="s">
        <v>14</v>
      </c>
      <c r="B10" s="30"/>
      <c r="C10" s="30"/>
      <c r="D10" s="11">
        <f>IF(SUM(D5:D6)&gt;0,D5/SUM(D5:D6),"")</f>
        <v>0.42857142857142855</v>
      </c>
      <c r="E10" s="12">
        <v>0</v>
      </c>
    </row>
    <row r="11" spans="1:6" ht="18.75" customHeight="1">
      <c r="A11" s="30" t="s">
        <v>15</v>
      </c>
      <c r="B11" s="30"/>
      <c r="C11" s="30"/>
      <c r="D11" s="11">
        <f>IF(SUM(D5:D6)&gt;0,1-ROUND(D10,2),"")</f>
        <v>0.57000000000000006</v>
      </c>
      <c r="E11" s="12">
        <v>1</v>
      </c>
    </row>
    <row r="12" spans="1:6" ht="15.95">
      <c r="A12" s="13"/>
      <c r="B12" s="13"/>
      <c r="C12" s="13"/>
    </row>
    <row r="13" spans="1:6" ht="20.100000000000001">
      <c r="A13" s="14" t="s">
        <v>16</v>
      </c>
      <c r="B13" s="14" t="s">
        <v>17</v>
      </c>
      <c r="C13" s="14" t="s">
        <v>18</v>
      </c>
      <c r="D13" s="14" t="s">
        <v>19</v>
      </c>
      <c r="E13" s="15" t="s">
        <v>20</v>
      </c>
      <c r="F13" s="16" t="s">
        <v>21</v>
      </c>
    </row>
    <row r="14" spans="1:6" ht="17.25" customHeight="1">
      <c r="A14" s="31" t="s">
        <v>22</v>
      </c>
      <c r="B14" s="17" t="s">
        <v>23</v>
      </c>
      <c r="C14" s="18" t="s">
        <v>24</v>
      </c>
      <c r="D14" s="19" t="s">
        <v>25</v>
      </c>
      <c r="E14" s="1"/>
      <c r="F14" s="1"/>
    </row>
    <row r="15" spans="1:6" ht="33.950000000000003">
      <c r="A15" s="31"/>
      <c r="B15" s="17" t="s">
        <v>26</v>
      </c>
      <c r="C15" s="18" t="s">
        <v>27</v>
      </c>
      <c r="D15" s="19" t="s">
        <v>28</v>
      </c>
      <c r="E15" s="20" t="s">
        <v>29</v>
      </c>
      <c r="F15" s="1"/>
    </row>
    <row r="16" spans="1:6" ht="33.950000000000003">
      <c r="A16" s="31"/>
      <c r="B16" s="17" t="s">
        <v>30</v>
      </c>
      <c r="C16" s="18" t="s">
        <v>31</v>
      </c>
      <c r="D16" s="19" t="s">
        <v>25</v>
      </c>
      <c r="E16" s="1"/>
      <c r="F16" s="1"/>
    </row>
    <row r="17" spans="1:6" ht="51">
      <c r="A17" s="31"/>
      <c r="B17" s="17" t="s">
        <v>32</v>
      </c>
      <c r="C17" s="18" t="s">
        <v>33</v>
      </c>
      <c r="D17" s="19" t="s">
        <v>25</v>
      </c>
      <c r="E17" s="1"/>
      <c r="F17" s="1"/>
    </row>
    <row r="18" spans="1:6" ht="33.950000000000003">
      <c r="A18" s="31"/>
      <c r="B18" s="17" t="s">
        <v>34</v>
      </c>
      <c r="C18" s="18" t="s">
        <v>35</v>
      </c>
      <c r="D18" s="19" t="s">
        <v>25</v>
      </c>
      <c r="E18" s="1"/>
      <c r="F18" s="1"/>
    </row>
    <row r="19" spans="1:6" ht="33.950000000000003">
      <c r="A19" s="31"/>
      <c r="B19" s="17" t="s">
        <v>36</v>
      </c>
      <c r="C19" s="18" t="s">
        <v>37</v>
      </c>
      <c r="D19" s="19" t="s">
        <v>25</v>
      </c>
      <c r="E19" s="1"/>
      <c r="F19" s="1"/>
    </row>
    <row r="20" spans="1:6" ht="33.950000000000003">
      <c r="A20" s="31"/>
      <c r="B20" s="17" t="s">
        <v>38</v>
      </c>
      <c r="C20" s="18" t="s">
        <v>39</v>
      </c>
      <c r="D20" s="19" t="s">
        <v>25</v>
      </c>
      <c r="E20" s="1"/>
      <c r="F20" s="1"/>
    </row>
    <row r="21" spans="1:6" ht="51">
      <c r="A21" s="31"/>
      <c r="B21" s="17" t="s">
        <v>40</v>
      </c>
      <c r="C21" s="18" t="s">
        <v>41</v>
      </c>
      <c r="D21" s="19" t="s">
        <v>25</v>
      </c>
      <c r="E21" s="1"/>
      <c r="F21" s="1"/>
    </row>
    <row r="22" spans="1:6" ht="33.950000000000003">
      <c r="A22" s="31"/>
      <c r="B22" s="17" t="s">
        <v>42</v>
      </c>
      <c r="C22" s="18" t="s">
        <v>43</v>
      </c>
      <c r="D22" s="19" t="s">
        <v>25</v>
      </c>
      <c r="E22" s="1"/>
      <c r="F22" s="1"/>
    </row>
    <row r="23" spans="1:6" ht="17.25" customHeight="1">
      <c r="A23" s="31" t="s">
        <v>44</v>
      </c>
      <c r="B23" s="17" t="s">
        <v>45</v>
      </c>
      <c r="C23" s="18" t="s">
        <v>46</v>
      </c>
      <c r="D23" s="19" t="s">
        <v>25</v>
      </c>
      <c r="E23" s="1"/>
      <c r="F23" s="1"/>
    </row>
    <row r="24" spans="1:6" ht="33.950000000000003">
      <c r="A24" s="31"/>
      <c r="B24" s="17" t="s">
        <v>47</v>
      </c>
      <c r="C24" s="18" t="s">
        <v>48</v>
      </c>
      <c r="D24" s="19" t="s">
        <v>25</v>
      </c>
      <c r="E24" s="1"/>
      <c r="F24" s="1"/>
    </row>
    <row r="25" spans="1:6" ht="28.35" customHeight="1">
      <c r="A25" s="31" t="s">
        <v>49</v>
      </c>
      <c r="B25" s="17" t="s">
        <v>50</v>
      </c>
      <c r="C25" s="18" t="s">
        <v>51</v>
      </c>
      <c r="D25" s="19" t="s">
        <v>25</v>
      </c>
      <c r="E25" s="1"/>
      <c r="F25" s="1"/>
    </row>
    <row r="26" spans="1:6" ht="138.75">
      <c r="A26" s="31"/>
      <c r="B26" s="17" t="s">
        <v>52</v>
      </c>
      <c r="C26" s="18" t="s">
        <v>53</v>
      </c>
      <c r="D26" s="19" t="s">
        <v>28</v>
      </c>
      <c r="E26" s="1" t="s">
        <v>54</v>
      </c>
      <c r="F26" s="39" t="s">
        <v>55</v>
      </c>
    </row>
    <row r="27" spans="1:6" ht="169.5">
      <c r="A27" s="31"/>
      <c r="B27" s="17" t="s">
        <v>56</v>
      </c>
      <c r="C27" s="18" t="s">
        <v>57</v>
      </c>
      <c r="D27" s="19" t="s">
        <v>28</v>
      </c>
      <c r="E27" s="1" t="s">
        <v>58</v>
      </c>
      <c r="F27" s="39" t="s">
        <v>55</v>
      </c>
    </row>
    <row r="28" spans="1:6" ht="28.35" customHeight="1">
      <c r="A28" s="31" t="s">
        <v>59</v>
      </c>
      <c r="B28" s="17" t="s">
        <v>60</v>
      </c>
      <c r="C28" s="18" t="s">
        <v>61</v>
      </c>
      <c r="D28" s="19" t="s">
        <v>25</v>
      </c>
      <c r="E28" s="1"/>
      <c r="F28" s="1"/>
    </row>
    <row r="29" spans="1:6" ht="51">
      <c r="A29" s="31"/>
      <c r="B29" s="17" t="s">
        <v>62</v>
      </c>
      <c r="C29" s="18" t="s">
        <v>63</v>
      </c>
      <c r="D29" s="19" t="s">
        <v>25</v>
      </c>
      <c r="E29" s="1"/>
      <c r="F29" s="1"/>
    </row>
    <row r="30" spans="1:6" ht="33.950000000000003">
      <c r="A30" s="31"/>
      <c r="B30" s="17" t="s">
        <v>64</v>
      </c>
      <c r="C30" s="18" t="s">
        <v>65</v>
      </c>
      <c r="D30" s="19" t="s">
        <v>25</v>
      </c>
      <c r="E30" s="1"/>
      <c r="F30" s="1"/>
    </row>
    <row r="31" spans="1:6" ht="33.950000000000003">
      <c r="A31" s="31"/>
      <c r="B31" s="17" t="s">
        <v>66</v>
      </c>
      <c r="C31" s="18" t="s">
        <v>67</v>
      </c>
      <c r="D31" s="19" t="s">
        <v>25</v>
      </c>
      <c r="E31" s="1"/>
      <c r="F31" s="1"/>
    </row>
    <row r="32" spans="1:6" ht="33.950000000000003">
      <c r="A32" s="31"/>
      <c r="B32" s="17" t="s">
        <v>68</v>
      </c>
      <c r="C32" s="18" t="s">
        <v>69</v>
      </c>
      <c r="D32" s="19" t="s">
        <v>25</v>
      </c>
      <c r="E32" s="1"/>
      <c r="F32" s="1"/>
    </row>
    <row r="33" spans="1:6" ht="33.950000000000003">
      <c r="A33" s="31"/>
      <c r="B33" s="17" t="s">
        <v>70</v>
      </c>
      <c r="C33" s="18" t="s">
        <v>71</v>
      </c>
      <c r="D33" s="19" t="s">
        <v>25</v>
      </c>
      <c r="E33" s="1"/>
      <c r="F33" s="1"/>
    </row>
    <row r="34" spans="1:6" ht="33.950000000000003">
      <c r="A34" s="31"/>
      <c r="B34" s="17" t="s">
        <v>72</v>
      </c>
      <c r="C34" s="18" t="s">
        <v>73</v>
      </c>
      <c r="D34" s="19" t="s">
        <v>25</v>
      </c>
      <c r="E34" s="1"/>
      <c r="F34" s="1"/>
    </row>
    <row r="35" spans="1:6" ht="33.950000000000003">
      <c r="A35" s="31"/>
      <c r="B35" s="17" t="s">
        <v>74</v>
      </c>
      <c r="C35" s="18" t="s">
        <v>75</v>
      </c>
      <c r="D35" s="19" t="s">
        <v>25</v>
      </c>
      <c r="E35" s="1"/>
      <c r="F35" s="1"/>
    </row>
    <row r="36" spans="1:6" ht="33.950000000000003">
      <c r="A36" s="31"/>
      <c r="B36" s="17" t="s">
        <v>76</v>
      </c>
      <c r="C36" s="18" t="s">
        <v>77</v>
      </c>
      <c r="D36" s="19" t="s">
        <v>25</v>
      </c>
      <c r="E36" s="1"/>
      <c r="F36" s="1"/>
    </row>
    <row r="37" spans="1:6" ht="33.950000000000003">
      <c r="A37" s="31"/>
      <c r="B37" s="17" t="s">
        <v>78</v>
      </c>
      <c r="C37" s="18" t="s">
        <v>79</v>
      </c>
      <c r="D37" s="19" t="s">
        <v>25</v>
      </c>
      <c r="E37" s="1"/>
      <c r="F37" s="1"/>
    </row>
    <row r="38" spans="1:6" ht="33.950000000000003">
      <c r="A38" s="31"/>
      <c r="B38" s="17" t="s">
        <v>80</v>
      </c>
      <c r="C38" s="18" t="s">
        <v>81</v>
      </c>
      <c r="D38" s="19" t="s">
        <v>25</v>
      </c>
      <c r="E38" s="1"/>
      <c r="F38" s="1"/>
    </row>
    <row r="39" spans="1:6" ht="33.950000000000003">
      <c r="A39" s="31"/>
      <c r="B39" s="17" t="s">
        <v>82</v>
      </c>
      <c r="C39" s="18" t="s">
        <v>83</v>
      </c>
      <c r="D39" s="19" t="s">
        <v>25</v>
      </c>
      <c r="E39" s="1"/>
      <c r="F39" s="1"/>
    </row>
    <row r="40" spans="1:6" ht="33.950000000000003">
      <c r="A40" s="31"/>
      <c r="B40" s="17" t="s">
        <v>84</v>
      </c>
      <c r="C40" s="18" t="s">
        <v>85</v>
      </c>
      <c r="D40" s="19" t="s">
        <v>25</v>
      </c>
      <c r="E40" s="1"/>
      <c r="F40" s="1"/>
    </row>
    <row r="41" spans="1:6" ht="17.25" customHeight="1">
      <c r="A41" s="31" t="s">
        <v>86</v>
      </c>
      <c r="B41" s="17" t="s">
        <v>87</v>
      </c>
      <c r="C41" s="18" t="s">
        <v>88</v>
      </c>
      <c r="D41" s="19" t="s">
        <v>25</v>
      </c>
      <c r="E41" s="1"/>
      <c r="F41" s="1"/>
    </row>
    <row r="42" spans="1:6" ht="33.950000000000003">
      <c r="A42" s="31"/>
      <c r="B42" s="17" t="s">
        <v>89</v>
      </c>
      <c r="C42" s="18" t="s">
        <v>90</v>
      </c>
      <c r="D42" s="19" t="s">
        <v>25</v>
      </c>
      <c r="E42" s="1"/>
      <c r="F42" s="1"/>
    </row>
    <row r="43" spans="1:6" ht="33.950000000000003">
      <c r="A43" s="31"/>
      <c r="B43" s="17" t="s">
        <v>91</v>
      </c>
      <c r="C43" s="18" t="s">
        <v>92</v>
      </c>
      <c r="D43" s="19" t="s">
        <v>25</v>
      </c>
      <c r="E43" s="1"/>
      <c r="F43" s="1"/>
    </row>
    <row r="44" spans="1:6" ht="33.950000000000003">
      <c r="A44" s="31"/>
      <c r="B44" s="17" t="s">
        <v>93</v>
      </c>
      <c r="C44" s="18" t="s">
        <v>94</v>
      </c>
      <c r="D44" s="19" t="s">
        <v>25</v>
      </c>
      <c r="E44" s="1"/>
      <c r="F44" s="1"/>
    </row>
    <row r="45" spans="1:6" ht="33.950000000000003">
      <c r="A45" s="31"/>
      <c r="B45" s="17" t="s">
        <v>95</v>
      </c>
      <c r="C45" s="18" t="s">
        <v>96</v>
      </c>
      <c r="D45" s="19" t="s">
        <v>25</v>
      </c>
      <c r="E45" s="1"/>
      <c r="F45" s="1"/>
    </row>
    <row r="46" spans="1:6" ht="33.950000000000003">
      <c r="A46" s="31"/>
      <c r="B46" s="17" t="s">
        <v>97</v>
      </c>
      <c r="C46" s="18" t="s">
        <v>98</v>
      </c>
      <c r="D46" s="19" t="s">
        <v>25</v>
      </c>
      <c r="E46" s="1"/>
      <c r="F46" s="1"/>
    </row>
    <row r="47" spans="1:6" ht="51">
      <c r="A47" s="31"/>
      <c r="B47" s="17" t="s">
        <v>99</v>
      </c>
      <c r="C47" s="18" t="s">
        <v>100</v>
      </c>
      <c r="D47" s="19" t="s">
        <v>25</v>
      </c>
      <c r="E47" s="1"/>
      <c r="F47" s="1"/>
    </row>
    <row r="48" spans="1:6" ht="33.950000000000003">
      <c r="A48" s="31"/>
      <c r="B48" s="17" t="s">
        <v>101</v>
      </c>
      <c r="C48" s="18" t="s">
        <v>102</v>
      </c>
      <c r="D48" s="19" t="s">
        <v>25</v>
      </c>
      <c r="E48" s="1"/>
      <c r="F48" s="1"/>
    </row>
    <row r="49" spans="1:12" ht="17.25" customHeight="1">
      <c r="A49" s="31" t="s">
        <v>103</v>
      </c>
      <c r="B49" s="17" t="s">
        <v>104</v>
      </c>
      <c r="C49" s="18" t="s">
        <v>105</v>
      </c>
      <c r="D49" s="19" t="s">
        <v>25</v>
      </c>
      <c r="E49" s="1" t="s">
        <v>106</v>
      </c>
      <c r="F49" s="1"/>
    </row>
    <row r="50" spans="1:12" ht="18.95">
      <c r="A50" s="31"/>
      <c r="B50" s="17" t="s">
        <v>107</v>
      </c>
      <c r="C50" s="18" t="s">
        <v>108</v>
      </c>
      <c r="D50" s="19" t="s">
        <v>109</v>
      </c>
      <c r="E50" s="1" t="s">
        <v>110</v>
      </c>
      <c r="F50" s="1"/>
    </row>
    <row r="51" spans="1:12" ht="184.5">
      <c r="A51" s="31" t="s">
        <v>111</v>
      </c>
      <c r="B51" s="17" t="s">
        <v>112</v>
      </c>
      <c r="C51" s="18" t="s">
        <v>113</v>
      </c>
      <c r="D51" s="19" t="s">
        <v>28</v>
      </c>
      <c r="E51" s="1" t="s">
        <v>114</v>
      </c>
      <c r="F51" s="40" t="s">
        <v>115</v>
      </c>
    </row>
    <row r="52" spans="1:12" ht="33.950000000000003">
      <c r="A52" s="31"/>
      <c r="B52" s="17" t="s">
        <v>116</v>
      </c>
      <c r="C52" s="18" t="s">
        <v>117</v>
      </c>
      <c r="D52" s="19" t="s">
        <v>25</v>
      </c>
      <c r="E52" s="1"/>
      <c r="F52" s="1"/>
      <c r="I52"/>
      <c r="J52"/>
      <c r="K52"/>
      <c r="L52"/>
    </row>
    <row r="53" spans="1:12" ht="61.5">
      <c r="A53" s="31"/>
      <c r="B53" s="17" t="s">
        <v>118</v>
      </c>
      <c r="C53" s="18" t="s">
        <v>119</v>
      </c>
      <c r="D53" s="19" t="s">
        <v>28</v>
      </c>
      <c r="E53" s="1" t="s">
        <v>120</v>
      </c>
      <c r="F53" s="40" t="s">
        <v>121</v>
      </c>
      <c r="I53"/>
      <c r="J53"/>
      <c r="K53"/>
      <c r="L53"/>
    </row>
    <row r="54" spans="1:12" ht="33.950000000000003">
      <c r="A54" s="31"/>
      <c r="B54" s="17" t="s">
        <v>122</v>
      </c>
      <c r="C54" s="18" t="s">
        <v>123</v>
      </c>
      <c r="D54" s="19" t="s">
        <v>25</v>
      </c>
      <c r="E54" s="1"/>
      <c r="F54" s="1"/>
      <c r="I54"/>
      <c r="J54"/>
      <c r="K54"/>
      <c r="L54"/>
    </row>
    <row r="55" spans="1:12" ht="33.950000000000003">
      <c r="A55" s="31"/>
      <c r="B55" s="17" t="s">
        <v>124</v>
      </c>
      <c r="C55" s="18" t="s">
        <v>125</v>
      </c>
      <c r="D55" s="19" t="s">
        <v>25</v>
      </c>
      <c r="E55" s="1"/>
      <c r="F55" s="1"/>
      <c r="I55"/>
      <c r="J55"/>
      <c r="K55"/>
      <c r="L55"/>
    </row>
    <row r="56" spans="1:12" ht="18" customHeight="1">
      <c r="A56" s="31" t="s">
        <v>126</v>
      </c>
      <c r="B56" s="17" t="s">
        <v>127</v>
      </c>
      <c r="C56" s="18" t="s">
        <v>128</v>
      </c>
      <c r="D56" s="19" t="s">
        <v>25</v>
      </c>
      <c r="E56" s="1"/>
      <c r="F56" s="1"/>
      <c r="I56"/>
      <c r="J56"/>
      <c r="K56"/>
      <c r="L56"/>
    </row>
    <row r="57" spans="1:12" ht="92.25">
      <c r="A57" s="31"/>
      <c r="B57" s="17" t="s">
        <v>129</v>
      </c>
      <c r="C57" s="18" t="s">
        <v>130</v>
      </c>
      <c r="D57" s="19" t="s">
        <v>28</v>
      </c>
      <c r="E57" s="24" t="s">
        <v>131</v>
      </c>
      <c r="F57" s="40" t="s">
        <v>132</v>
      </c>
      <c r="I57"/>
      <c r="J57"/>
      <c r="K57"/>
      <c r="L57"/>
    </row>
    <row r="58" spans="1:12" ht="18.95">
      <c r="A58" s="31"/>
      <c r="B58" s="17" t="s">
        <v>133</v>
      </c>
      <c r="C58" s="18" t="s">
        <v>134</v>
      </c>
      <c r="D58" s="19" t="s">
        <v>25</v>
      </c>
      <c r="E58" s="1"/>
      <c r="F58" s="1"/>
    </row>
    <row r="59" spans="1:12" ht="33.950000000000003">
      <c r="A59" s="31"/>
      <c r="B59" s="17" t="s">
        <v>135</v>
      </c>
      <c r="C59" s="18" t="s">
        <v>136</v>
      </c>
      <c r="D59" s="19" t="s">
        <v>25</v>
      </c>
      <c r="E59" s="1"/>
      <c r="F59" s="1"/>
    </row>
    <row r="60" spans="1:12" ht="18.95">
      <c r="A60" s="31"/>
      <c r="B60" s="17" t="s">
        <v>137</v>
      </c>
      <c r="C60" s="18" t="s">
        <v>138</v>
      </c>
      <c r="D60" s="19" t="s">
        <v>25</v>
      </c>
      <c r="E60" s="1"/>
      <c r="F60" s="1"/>
    </row>
    <row r="61" spans="1:12" ht="18.95">
      <c r="A61" s="31"/>
      <c r="B61" s="17" t="s">
        <v>139</v>
      </c>
      <c r="C61" s="18" t="s">
        <v>140</v>
      </c>
      <c r="D61" s="19" t="s">
        <v>25</v>
      </c>
      <c r="E61" s="1"/>
      <c r="F61" s="1"/>
    </row>
    <row r="62" spans="1:12" ht="33.950000000000003">
      <c r="A62" s="31"/>
      <c r="B62" s="17" t="s">
        <v>141</v>
      </c>
      <c r="C62" s="18" t="s">
        <v>142</v>
      </c>
      <c r="D62" s="19" t="s">
        <v>25</v>
      </c>
      <c r="E62" s="1"/>
      <c r="F62" s="1"/>
    </row>
    <row r="63" spans="1:12" ht="33.950000000000003">
      <c r="A63" s="31"/>
      <c r="B63" s="17" t="s">
        <v>143</v>
      </c>
      <c r="C63" s="18" t="s">
        <v>144</v>
      </c>
      <c r="D63" s="19" t="s">
        <v>25</v>
      </c>
      <c r="E63" s="1"/>
      <c r="F63" s="1"/>
    </row>
    <row r="64" spans="1:12" ht="33.950000000000003">
      <c r="A64" s="31"/>
      <c r="B64" s="17" t="s">
        <v>145</v>
      </c>
      <c r="C64" s="18" t="s">
        <v>146</v>
      </c>
      <c r="D64" s="19" t="s">
        <v>25</v>
      </c>
      <c r="E64" s="1"/>
      <c r="F64" s="1"/>
    </row>
    <row r="65" spans="1:6" ht="33.950000000000003">
      <c r="A65" s="31"/>
      <c r="B65" s="17" t="s">
        <v>147</v>
      </c>
      <c r="C65" s="18" t="s">
        <v>148</v>
      </c>
      <c r="D65" s="19" t="s">
        <v>25</v>
      </c>
      <c r="E65" s="1"/>
      <c r="F65" s="1"/>
    </row>
    <row r="66" spans="1:6" ht="28.35" customHeight="1">
      <c r="A66" s="31" t="s">
        <v>149</v>
      </c>
      <c r="B66" s="17" t="s">
        <v>150</v>
      </c>
      <c r="C66" s="18" t="s">
        <v>151</v>
      </c>
      <c r="D66" s="19" t="s">
        <v>25</v>
      </c>
      <c r="E66" s="1"/>
      <c r="F66" s="1"/>
    </row>
    <row r="67" spans="1:6" ht="33.950000000000003">
      <c r="A67" s="31"/>
      <c r="B67" s="17" t="s">
        <v>152</v>
      </c>
      <c r="C67" s="18" t="s">
        <v>153</v>
      </c>
      <c r="D67" s="19" t="s">
        <v>25</v>
      </c>
      <c r="E67" s="1"/>
      <c r="F67" s="1"/>
    </row>
    <row r="68" spans="1:6" ht="30.75">
      <c r="A68" s="31"/>
      <c r="B68" s="17" t="s">
        <v>154</v>
      </c>
      <c r="C68" s="18" t="s">
        <v>155</v>
      </c>
      <c r="D68" s="19" t="s">
        <v>28</v>
      </c>
      <c r="E68" s="1" t="s">
        <v>156</v>
      </c>
      <c r="F68" s="40" t="s">
        <v>157</v>
      </c>
    </row>
    <row r="69" spans="1:6" ht="33.950000000000003">
      <c r="A69" s="31"/>
      <c r="B69" s="17" t="s">
        <v>158</v>
      </c>
      <c r="C69" s="18" t="s">
        <v>159</v>
      </c>
      <c r="D69" s="19" t="s">
        <v>25</v>
      </c>
      <c r="E69" s="1"/>
      <c r="F69" s="1"/>
    </row>
    <row r="70" spans="1:6" ht="68.099999999999994">
      <c r="A70" s="31" t="s">
        <v>160</v>
      </c>
      <c r="B70" s="17" t="s">
        <v>161</v>
      </c>
      <c r="C70" s="18" t="s">
        <v>162</v>
      </c>
      <c r="D70" s="19" t="s">
        <v>109</v>
      </c>
      <c r="E70" s="25" t="s">
        <v>163</v>
      </c>
      <c r="F70" s="1"/>
    </row>
    <row r="71" spans="1:6" ht="33.950000000000003">
      <c r="A71" s="31"/>
      <c r="B71" s="17" t="s">
        <v>164</v>
      </c>
      <c r="C71" s="18" t="s">
        <v>165</v>
      </c>
      <c r="D71" s="19" t="s">
        <v>109</v>
      </c>
      <c r="E71" s="1" t="s">
        <v>166</v>
      </c>
      <c r="F71" s="1"/>
    </row>
    <row r="72" spans="1:6" ht="32.25">
      <c r="A72" s="31"/>
      <c r="B72" s="17" t="s">
        <v>167</v>
      </c>
      <c r="C72" s="18" t="s">
        <v>168</v>
      </c>
      <c r="D72" s="19" t="s">
        <v>28</v>
      </c>
      <c r="E72" s="1" t="s">
        <v>169</v>
      </c>
      <c r="F72" s="40" t="s">
        <v>157</v>
      </c>
    </row>
    <row r="73" spans="1:6" ht="51">
      <c r="A73" s="31"/>
      <c r="B73" s="17" t="s">
        <v>170</v>
      </c>
      <c r="C73" s="18" t="s">
        <v>171</v>
      </c>
      <c r="D73" s="19" t="s">
        <v>109</v>
      </c>
      <c r="E73" s="1" t="s">
        <v>172</v>
      </c>
      <c r="F73" s="1"/>
    </row>
    <row r="74" spans="1:6" ht="33.950000000000003">
      <c r="A74" s="31"/>
      <c r="B74" s="17" t="s">
        <v>173</v>
      </c>
      <c r="C74" s="18" t="s">
        <v>174</v>
      </c>
      <c r="D74" s="19" t="s">
        <v>109</v>
      </c>
      <c r="E74" s="1" t="s">
        <v>175</v>
      </c>
      <c r="F74" s="1"/>
    </row>
    <row r="75" spans="1:6" ht="33.950000000000003">
      <c r="A75" s="31"/>
      <c r="B75" s="17" t="s">
        <v>176</v>
      </c>
      <c r="C75" s="18" t="s">
        <v>177</v>
      </c>
      <c r="D75" s="19" t="s">
        <v>109</v>
      </c>
      <c r="E75" s="1" t="s">
        <v>178</v>
      </c>
      <c r="F75" s="1"/>
    </row>
    <row r="76" spans="1:6" ht="33.950000000000003">
      <c r="A76" s="31"/>
      <c r="B76" s="17" t="s">
        <v>179</v>
      </c>
      <c r="C76" s="18" t="s">
        <v>180</v>
      </c>
      <c r="D76" s="19" t="s">
        <v>28</v>
      </c>
      <c r="E76" s="1" t="s">
        <v>181</v>
      </c>
      <c r="F76" s="38"/>
    </row>
    <row r="77" spans="1:6" ht="33.950000000000003">
      <c r="A77" s="31"/>
      <c r="B77" s="17" t="s">
        <v>182</v>
      </c>
      <c r="C77" s="18" t="s">
        <v>183</v>
      </c>
      <c r="D77" s="19" t="s">
        <v>25</v>
      </c>
      <c r="E77" s="1"/>
      <c r="F77" s="1"/>
    </row>
    <row r="78" spans="1:6" ht="108">
      <c r="A78" s="31"/>
      <c r="B78" s="17" t="s">
        <v>184</v>
      </c>
      <c r="C78" s="18" t="s">
        <v>185</v>
      </c>
      <c r="D78" s="19" t="s">
        <v>28</v>
      </c>
      <c r="E78" s="1" t="s">
        <v>186</v>
      </c>
      <c r="F78" s="40" t="s">
        <v>187</v>
      </c>
    </row>
    <row r="79" spans="1:6" ht="51">
      <c r="A79" s="31"/>
      <c r="B79" s="17" t="s">
        <v>188</v>
      </c>
      <c r="C79" s="18" t="s">
        <v>189</v>
      </c>
      <c r="D79" s="19" t="s">
        <v>28</v>
      </c>
      <c r="E79" s="1" t="s">
        <v>190</v>
      </c>
      <c r="F79" s="38"/>
    </row>
    <row r="80" spans="1:6" ht="84.95">
      <c r="A80" s="31"/>
      <c r="B80" s="17" t="s">
        <v>191</v>
      </c>
      <c r="C80" s="18" t="s">
        <v>192</v>
      </c>
      <c r="D80" s="19" t="s">
        <v>109</v>
      </c>
      <c r="E80" s="25" t="s">
        <v>193</v>
      </c>
      <c r="F80" s="1"/>
    </row>
    <row r="81" spans="1:6" ht="119.1">
      <c r="A81" s="31"/>
      <c r="B81" s="17" t="s">
        <v>194</v>
      </c>
      <c r="C81" s="18" t="s">
        <v>195</v>
      </c>
      <c r="D81" s="19" t="s">
        <v>109</v>
      </c>
      <c r="E81" s="25" t="s">
        <v>196</v>
      </c>
      <c r="F81" s="1"/>
    </row>
    <row r="82" spans="1:6" ht="51">
      <c r="A82" s="31"/>
      <c r="B82" s="17" t="s">
        <v>197</v>
      </c>
      <c r="C82" s="18" t="s">
        <v>198</v>
      </c>
      <c r="D82" s="19" t="s">
        <v>109</v>
      </c>
      <c r="E82" s="1" t="s">
        <v>199</v>
      </c>
      <c r="F82" s="1"/>
    </row>
    <row r="83" spans="1:6" ht="51">
      <c r="A83" s="31"/>
      <c r="B83" s="17" t="s">
        <v>200</v>
      </c>
      <c r="C83" s="18" t="s">
        <v>201</v>
      </c>
      <c r="D83" s="19" t="s">
        <v>25</v>
      </c>
      <c r="E83" s="1"/>
      <c r="F83" s="1"/>
    </row>
    <row r="84" spans="1:6" ht="17.25" customHeight="1">
      <c r="A84" s="31" t="s">
        <v>202</v>
      </c>
      <c r="B84" s="17" t="s">
        <v>203</v>
      </c>
      <c r="C84" s="18" t="s">
        <v>204</v>
      </c>
      <c r="D84" s="19" t="s">
        <v>25</v>
      </c>
      <c r="E84" s="1"/>
      <c r="F84" s="1"/>
    </row>
    <row r="85" spans="1:6" ht="33.950000000000003">
      <c r="A85" s="31"/>
      <c r="B85" s="17" t="s">
        <v>205</v>
      </c>
      <c r="C85" s="18" t="s">
        <v>206</v>
      </c>
      <c r="D85" s="19" t="s">
        <v>25</v>
      </c>
      <c r="E85" s="1"/>
      <c r="F85" s="1"/>
    </row>
    <row r="86" spans="1:6" ht="51">
      <c r="A86" s="31"/>
      <c r="B86" s="17" t="s">
        <v>207</v>
      </c>
      <c r="C86" s="18" t="s">
        <v>208</v>
      </c>
      <c r="D86" s="19" t="s">
        <v>25</v>
      </c>
      <c r="E86" s="1"/>
      <c r="F86" s="1"/>
    </row>
    <row r="87" spans="1:6" ht="33.950000000000003">
      <c r="A87" s="31"/>
      <c r="B87" s="17" t="s">
        <v>209</v>
      </c>
      <c r="C87" s="18" t="s">
        <v>210</v>
      </c>
      <c r="D87" s="19" t="s">
        <v>25</v>
      </c>
      <c r="E87" s="1"/>
      <c r="F87" s="1"/>
    </row>
    <row r="88" spans="1:6" ht="33.950000000000003">
      <c r="A88" s="31"/>
      <c r="B88" s="17" t="s">
        <v>211</v>
      </c>
      <c r="C88" s="18" t="s">
        <v>212</v>
      </c>
      <c r="D88" s="19" t="s">
        <v>25</v>
      </c>
      <c r="E88" s="1"/>
      <c r="F88" s="1"/>
    </row>
    <row r="89" spans="1:6" ht="33.950000000000003">
      <c r="A89" s="31"/>
      <c r="B89" s="17" t="s">
        <v>213</v>
      </c>
      <c r="C89" s="18" t="s">
        <v>214</v>
      </c>
      <c r="D89" s="19" t="s">
        <v>25</v>
      </c>
      <c r="E89" s="1"/>
      <c r="F89" s="1"/>
    </row>
    <row r="90" spans="1:6" ht="33.950000000000003">
      <c r="A90" s="31"/>
      <c r="B90" s="17" t="s">
        <v>215</v>
      </c>
      <c r="C90" s="18" t="s">
        <v>216</v>
      </c>
      <c r="D90" s="19" t="s">
        <v>25</v>
      </c>
      <c r="E90" s="1"/>
      <c r="F90" s="1"/>
    </row>
    <row r="91" spans="1:6" ht="33.950000000000003">
      <c r="A91" s="31"/>
      <c r="B91" s="17" t="s">
        <v>217</v>
      </c>
      <c r="C91" s="18" t="s">
        <v>218</v>
      </c>
      <c r="D91" s="19" t="s">
        <v>25</v>
      </c>
      <c r="E91" s="1"/>
      <c r="F91" s="1"/>
    </row>
    <row r="92" spans="1:6" ht="33.950000000000003">
      <c r="A92" s="31"/>
      <c r="B92" s="17" t="s">
        <v>219</v>
      </c>
      <c r="C92" s="18" t="s">
        <v>220</v>
      </c>
      <c r="D92" s="19" t="s">
        <v>25</v>
      </c>
      <c r="E92" s="1"/>
      <c r="F92" s="1"/>
    </row>
    <row r="93" spans="1:6" ht="33.950000000000003">
      <c r="A93" s="31"/>
      <c r="B93" s="17" t="s">
        <v>221</v>
      </c>
      <c r="C93" s="18" t="s">
        <v>222</v>
      </c>
      <c r="D93" s="19" t="s">
        <v>25</v>
      </c>
      <c r="E93" s="1"/>
      <c r="F93" s="1"/>
    </row>
    <row r="94" spans="1:6" ht="51">
      <c r="A94" s="31"/>
      <c r="B94" s="17" t="s">
        <v>223</v>
      </c>
      <c r="C94" s="18" t="s">
        <v>224</v>
      </c>
      <c r="D94" s="19" t="s">
        <v>25</v>
      </c>
      <c r="E94" s="1"/>
      <c r="F94" s="1"/>
    </row>
    <row r="95" spans="1:6" ht="84.95">
      <c r="A95" s="31"/>
      <c r="B95" s="17" t="s">
        <v>225</v>
      </c>
      <c r="C95" s="18" t="s">
        <v>226</v>
      </c>
      <c r="D95" s="19" t="s">
        <v>25</v>
      </c>
      <c r="E95" s="1"/>
      <c r="F95" s="1"/>
    </row>
    <row r="96" spans="1:6" ht="51">
      <c r="A96" s="31"/>
      <c r="B96" s="17" t="s">
        <v>227</v>
      </c>
      <c r="C96" s="18" t="s">
        <v>228</v>
      </c>
      <c r="D96" s="19" t="s">
        <v>25</v>
      </c>
      <c r="E96" s="1"/>
      <c r="F96" s="1"/>
    </row>
    <row r="97" spans="1:6" ht="28.35" customHeight="1">
      <c r="A97" s="31" t="s">
        <v>229</v>
      </c>
      <c r="B97" s="17" t="s">
        <v>230</v>
      </c>
      <c r="C97" s="18" t="s">
        <v>231</v>
      </c>
      <c r="D97" s="19" t="s">
        <v>25</v>
      </c>
      <c r="E97" s="1"/>
      <c r="F97" s="1"/>
    </row>
    <row r="98" spans="1:6" ht="33.950000000000003">
      <c r="A98" s="31"/>
      <c r="B98" s="17" t="s">
        <v>232</v>
      </c>
      <c r="C98" s="18" t="s">
        <v>233</v>
      </c>
      <c r="D98" s="19" t="s">
        <v>25</v>
      </c>
      <c r="E98" s="1"/>
      <c r="F98" s="1"/>
    </row>
    <row r="99" spans="1:6" ht="18.95">
      <c r="A99" s="31"/>
      <c r="B99" s="17" t="s">
        <v>234</v>
      </c>
      <c r="C99" s="18" t="s">
        <v>235</v>
      </c>
      <c r="D99" s="19" t="s">
        <v>25</v>
      </c>
      <c r="E99" s="1"/>
      <c r="F99" s="1"/>
    </row>
    <row r="100" spans="1:6" ht="33.950000000000003">
      <c r="A100" s="31"/>
      <c r="B100" s="17" t="s">
        <v>236</v>
      </c>
      <c r="C100" s="18" t="s">
        <v>237</v>
      </c>
      <c r="D100" s="19" t="s">
        <v>25</v>
      </c>
      <c r="E100" s="1"/>
      <c r="F100" s="1"/>
    </row>
    <row r="101" spans="1:6" ht="33.950000000000003">
      <c r="A101" s="31"/>
      <c r="B101" s="17" t="s">
        <v>238</v>
      </c>
      <c r="C101" s="18" t="s">
        <v>239</v>
      </c>
      <c r="D101" s="19" t="s">
        <v>25</v>
      </c>
      <c r="E101" s="1"/>
      <c r="F101" s="1"/>
    </row>
    <row r="102" spans="1:6" ht="68.099999999999994">
      <c r="A102" s="31"/>
      <c r="B102" s="17" t="s">
        <v>240</v>
      </c>
      <c r="C102" s="18" t="s">
        <v>241</v>
      </c>
      <c r="D102" s="19" t="s">
        <v>25</v>
      </c>
      <c r="E102" s="1"/>
      <c r="F102" s="1"/>
    </row>
    <row r="103" spans="1:6" ht="33.950000000000003">
      <c r="A103" s="31"/>
      <c r="B103" s="17" t="s">
        <v>242</v>
      </c>
      <c r="C103" s="18" t="s">
        <v>243</v>
      </c>
      <c r="D103" s="19" t="s">
        <v>25</v>
      </c>
      <c r="E103" s="1"/>
      <c r="F103" s="1"/>
    </row>
    <row r="104" spans="1:6" ht="18.95">
      <c r="A104" s="31"/>
      <c r="B104" s="17" t="s">
        <v>244</v>
      </c>
      <c r="C104" s="18" t="s">
        <v>245</v>
      </c>
      <c r="D104" s="19" t="s">
        <v>25</v>
      </c>
      <c r="E104" s="1" t="s">
        <v>246</v>
      </c>
      <c r="F104" s="1"/>
    </row>
    <row r="105" spans="1:6" ht="32.25">
      <c r="A105" s="31"/>
      <c r="B105" s="17" t="s">
        <v>247</v>
      </c>
      <c r="C105" s="18" t="s">
        <v>248</v>
      </c>
      <c r="D105" s="19" t="s">
        <v>28</v>
      </c>
      <c r="E105" s="1" t="s">
        <v>249</v>
      </c>
      <c r="F105" s="40" t="s">
        <v>121</v>
      </c>
    </row>
    <row r="106" spans="1:6" ht="51">
      <c r="A106" s="31"/>
      <c r="B106" s="17" t="s">
        <v>250</v>
      </c>
      <c r="C106" s="18" t="s">
        <v>251</v>
      </c>
      <c r="D106" s="19" t="s">
        <v>25</v>
      </c>
      <c r="E106" s="1"/>
      <c r="F106" s="1"/>
    </row>
    <row r="107" spans="1:6" ht="51">
      <c r="A107" s="31"/>
      <c r="B107" s="17" t="s">
        <v>252</v>
      </c>
      <c r="C107" s="18" t="s">
        <v>253</v>
      </c>
      <c r="D107" s="19" t="s">
        <v>25</v>
      </c>
      <c r="E107" s="1"/>
      <c r="F107" s="1"/>
    </row>
    <row r="108" spans="1:6" ht="28.35" customHeight="1">
      <c r="A108" s="31" t="s">
        <v>254</v>
      </c>
      <c r="B108" s="17" t="s">
        <v>255</v>
      </c>
      <c r="C108" s="18" t="s">
        <v>256</v>
      </c>
      <c r="D108" s="19" t="s">
        <v>25</v>
      </c>
      <c r="E108" s="1"/>
      <c r="F108" s="1"/>
    </row>
    <row r="109" spans="1:6" ht="51">
      <c r="A109" s="31"/>
      <c r="B109" s="17" t="s">
        <v>257</v>
      </c>
      <c r="C109" s="18" t="s">
        <v>258</v>
      </c>
      <c r="D109" s="19" t="s">
        <v>25</v>
      </c>
      <c r="E109" s="1"/>
      <c r="F109" s="1"/>
    </row>
    <row r="110" spans="1:6" ht="51">
      <c r="A110" s="31"/>
      <c r="B110" s="17" t="s">
        <v>259</v>
      </c>
      <c r="C110" s="18" t="s">
        <v>260</v>
      </c>
      <c r="D110" s="19" t="s">
        <v>25</v>
      </c>
      <c r="E110" s="1"/>
      <c r="F110" s="1"/>
    </row>
    <row r="111" spans="1:6" ht="33.950000000000003">
      <c r="A111" s="31"/>
      <c r="B111" s="17" t="s">
        <v>261</v>
      </c>
      <c r="C111" s="18" t="s">
        <v>262</v>
      </c>
      <c r="D111" s="19" t="s">
        <v>25</v>
      </c>
      <c r="E111" s="1"/>
      <c r="F111" s="1"/>
    </row>
    <row r="112" spans="1:6" ht="33.950000000000003">
      <c r="A112" s="31"/>
      <c r="B112" s="17" t="s">
        <v>263</v>
      </c>
      <c r="C112" s="18" t="s">
        <v>264</v>
      </c>
      <c r="D112" s="19" t="s">
        <v>25</v>
      </c>
      <c r="E112" s="1"/>
      <c r="F112" s="1"/>
    </row>
    <row r="113" spans="1:6" ht="51">
      <c r="A113" s="31"/>
      <c r="B113" s="17" t="s">
        <v>265</v>
      </c>
      <c r="C113" s="18" t="s">
        <v>266</v>
      </c>
      <c r="D113" s="19" t="s">
        <v>25</v>
      </c>
      <c r="E113" s="1"/>
      <c r="F113" s="1"/>
    </row>
    <row r="114" spans="1:6" ht="33.950000000000003">
      <c r="A114" s="31"/>
      <c r="B114" s="17" t="s">
        <v>267</v>
      </c>
      <c r="C114" s="18" t="s">
        <v>268</v>
      </c>
      <c r="D114" s="19" t="s">
        <v>25</v>
      </c>
      <c r="E114" s="1"/>
      <c r="F114" s="1"/>
    </row>
    <row r="115" spans="1:6" ht="33.950000000000003">
      <c r="A115" s="31"/>
      <c r="B115" s="17" t="s">
        <v>269</v>
      </c>
      <c r="C115" s="18" t="s">
        <v>270</v>
      </c>
      <c r="D115" s="19" t="s">
        <v>25</v>
      </c>
      <c r="E115" s="1"/>
      <c r="F115" s="1"/>
    </row>
    <row r="116" spans="1:6" ht="51">
      <c r="A116" s="31"/>
      <c r="B116" s="17" t="s">
        <v>271</v>
      </c>
      <c r="C116" s="18" t="s">
        <v>272</v>
      </c>
      <c r="D116" s="19" t="s">
        <v>25</v>
      </c>
      <c r="E116" s="1"/>
      <c r="F116" s="1"/>
    </row>
    <row r="117" spans="1:6" ht="51">
      <c r="A117" s="31"/>
      <c r="B117" s="17" t="s">
        <v>273</v>
      </c>
      <c r="C117" s="18" t="s">
        <v>274</v>
      </c>
      <c r="D117" s="19" t="s">
        <v>25</v>
      </c>
      <c r="E117" s="1"/>
      <c r="F117" s="1"/>
    </row>
    <row r="118" spans="1:6" ht="51">
      <c r="A118" s="31"/>
      <c r="B118" s="17" t="s">
        <v>275</v>
      </c>
      <c r="C118" s="18" t="s">
        <v>276</v>
      </c>
      <c r="D118" s="19" t="s">
        <v>25</v>
      </c>
      <c r="E118" s="1"/>
      <c r="F118" s="1"/>
    </row>
    <row r="119" spans="1:6" ht="51">
      <c r="A119" s="31"/>
      <c r="B119" s="17" t="s">
        <v>277</v>
      </c>
      <c r="C119" s="18" t="s">
        <v>278</v>
      </c>
      <c r="D119" s="19" t="s">
        <v>25</v>
      </c>
      <c r="E119" s="1"/>
      <c r="F119" s="1"/>
    </row>
    <row r="122" spans="1:6" ht="15.95">
      <c r="A122" s="32" t="s">
        <v>279</v>
      </c>
      <c r="B122" s="32"/>
      <c r="C122" s="32"/>
      <c r="D122" s="32"/>
      <c r="E122" s="21" t="s">
        <v>280</v>
      </c>
    </row>
    <row r="123" spans="1:6" ht="102" customHeight="1">
      <c r="A123" s="36" t="s">
        <v>281</v>
      </c>
      <c r="B123" s="36"/>
      <c r="C123" s="36"/>
      <c r="D123" s="36"/>
      <c r="E123" s="26" t="s">
        <v>282</v>
      </c>
    </row>
    <row r="124" spans="1:6" ht="33.75" customHeight="1">
      <c r="A124" s="36" t="s">
        <v>283</v>
      </c>
      <c r="B124" s="36"/>
      <c r="C124" s="36"/>
      <c r="D124" s="36"/>
      <c r="E124" s="22" t="s">
        <v>282</v>
      </c>
    </row>
    <row r="125" spans="1:6" ht="33.75" customHeight="1">
      <c r="A125" s="36" t="s">
        <v>284</v>
      </c>
      <c r="B125" s="36"/>
      <c r="C125" s="36"/>
      <c r="D125" s="36"/>
      <c r="E125" s="22" t="s">
        <v>282</v>
      </c>
    </row>
    <row r="126" spans="1:6" ht="30" customHeight="1">
      <c r="A126" s="37" t="s">
        <v>285</v>
      </c>
      <c r="B126" s="37"/>
      <c r="C126" s="37"/>
      <c r="D126" s="37"/>
      <c r="E126" s="22" t="s">
        <v>282</v>
      </c>
    </row>
    <row r="127" spans="1:6" ht="51" customHeight="1">
      <c r="A127" s="36" t="s">
        <v>286</v>
      </c>
      <c r="B127" s="36"/>
      <c r="C127" s="36"/>
      <c r="D127" s="36"/>
      <c r="E127" s="23" t="s">
        <v>287</v>
      </c>
    </row>
    <row r="128" spans="1:6" ht="15" customHeight="1">
      <c r="A128" s="33" t="s">
        <v>288</v>
      </c>
      <c r="B128" s="33"/>
      <c r="C128" s="33"/>
      <c r="D128" s="34"/>
      <c r="E128" s="22" t="s">
        <v>282</v>
      </c>
    </row>
    <row r="129" spans="1:4" ht="15" customHeight="1">
      <c r="A129" s="35"/>
      <c r="B129" s="35"/>
      <c r="C129" s="35"/>
      <c r="D129" s="35"/>
    </row>
  </sheetData>
  <mergeCells count="32">
    <mergeCell ref="A128:D128"/>
    <mergeCell ref="A129:D129"/>
    <mergeCell ref="A123:D123"/>
    <mergeCell ref="A124:D124"/>
    <mergeCell ref="A125:D125"/>
    <mergeCell ref="A126:D126"/>
    <mergeCell ref="A127:D127"/>
    <mergeCell ref="A70:A83"/>
    <mergeCell ref="A84:A96"/>
    <mergeCell ref="A97:A107"/>
    <mergeCell ref="A108:A119"/>
    <mergeCell ref="A122:D122"/>
    <mergeCell ref="A41:A48"/>
    <mergeCell ref="A49:A50"/>
    <mergeCell ref="A51:A55"/>
    <mergeCell ref="A56:A65"/>
    <mergeCell ref="A66:A69"/>
    <mergeCell ref="A11:C11"/>
    <mergeCell ref="A14:A22"/>
    <mergeCell ref="A23:A24"/>
    <mergeCell ref="A25:A27"/>
    <mergeCell ref="A28:A40"/>
    <mergeCell ref="A6:C6"/>
    <mergeCell ref="A7:C7"/>
    <mergeCell ref="A8:C8"/>
    <mergeCell ref="A9:C9"/>
    <mergeCell ref="A10:C10"/>
    <mergeCell ref="A1:D1"/>
    <mergeCell ref="A2:C2"/>
    <mergeCell ref="A3:C3"/>
    <mergeCell ref="A4:C4"/>
    <mergeCell ref="A5:C5"/>
  </mergeCells>
  <conditionalFormatting sqref="D14:E69 D70 D71:E79 D80:D81 D82:E119">
    <cfRule type="expression" dxfId="9" priority="11">
      <formula>$D14="Dérogé"</formula>
    </cfRule>
    <cfRule type="expression" dxfId="8" priority="12">
      <formula>$D14="Conforme"</formula>
    </cfRule>
    <cfRule type="expression" dxfId="7" priority="13">
      <formula>$D14="Non conforme"</formula>
    </cfRule>
  </conditionalFormatting>
  <conditionalFormatting sqref="D14:E119">
    <cfRule type="expression" dxfId="6" priority="1">
      <formula>$D14="Non testé"</formula>
    </cfRule>
  </conditionalFormatting>
  <conditionalFormatting sqref="E70">
    <cfRule type="expression" dxfId="5" priority="6">
      <formula>$D70="Dérogé"</formula>
    </cfRule>
    <cfRule type="expression" dxfId="4" priority="7">
      <formula>$D70="Conforme"</formula>
    </cfRule>
    <cfRule type="expression" dxfId="3" priority="8">
      <formula>$D70="Non conforme"</formula>
    </cfRule>
  </conditionalFormatting>
  <conditionalFormatting sqref="E80:E81">
    <cfRule type="expression" dxfId="2" priority="2">
      <formula>$D80="Dérogé"</formula>
    </cfRule>
    <cfRule type="expression" dxfId="1" priority="3">
      <formula>$D80="Conforme"</formula>
    </cfRule>
    <cfRule type="expression" dxfId="0" priority="4">
      <formula>$D80="Non conforme"</formula>
    </cfRule>
  </conditionalFormatting>
  <dataValidations count="2">
    <dataValidation type="list" allowBlank="1" showInputMessage="1" showErrorMessage="1" sqref="D14:D119" xr:uid="{00000000-0002-0000-0000-000000000000}">
      <formula1>"Conforme,Non conforme,Non applicable,Dérogé,Non testé"</formula1>
      <formula2>0</formula2>
    </dataValidation>
    <dataValidation allowBlank="1" showInputMessage="1" showErrorMessage="1" prompt="Format JJ/MM/AAAA" sqref="D3" xr:uid="{00000000-0002-0000-0000-000001000000}">
      <formula1>0</formula1>
      <formula2>0</formula2>
    </dataValidation>
  </dataValidations>
  <hyperlinks>
    <hyperlink ref="E123" r:id="rId1" xr:uid="{00000000-0004-0000-0000-000000000000}"/>
    <hyperlink ref="E124" r:id="rId2" xr:uid="{9A212A40-8504-AF49-854E-132EA869D495}"/>
    <hyperlink ref="E125" r:id="rId3" xr:uid="{64C600BD-60CC-C044-91D0-589E85449252}"/>
    <hyperlink ref="E126" r:id="rId4" xr:uid="{B140A4DD-49EC-DC48-816C-4EDD152CBDBD}"/>
    <hyperlink ref="E128" r:id="rId5" xr:uid="{0980DA8F-9D19-E045-81A6-F22884239DCA}"/>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
  <cp:revision>1</cp:revision>
  <dcterms:created xsi:type="dcterms:W3CDTF">2025-03-05T16:22:31Z</dcterms:created>
  <dcterms:modified xsi:type="dcterms:W3CDTF">2025-07-18T12:22:17Z</dcterms:modified>
  <cp:category/>
  <cp:contentStatus/>
</cp:coreProperties>
</file>
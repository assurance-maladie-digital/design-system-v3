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mc:AlternateContent xmlns:mc="http://schemas.openxmlformats.org/markup-compatibility/2006">
    <mc:Choice Requires="x15">
      <x15ac:absPath xmlns:x15ac="http://schemas.microsoft.com/office/spreadsheetml/2010/11/ac" url="/Users/davidfyon/Desktop/"/>
    </mc:Choice>
  </mc:AlternateContent>
  <xr:revisionPtr revIDLastSave="0" documentId="13_ncr:1_{166EDD35-7435-854D-96B4-08B69D4D0E6C}" xr6:coauthVersionLast="47" xr6:coauthVersionMax="47" xr10:uidLastSave="{00000000-0000-0000-0000-000000000000}"/>
  <bookViews>
    <workbookView xWindow="4640" yWindow="760" windowWidth="44260" windowHeight="25980" xr2:uid="{00000000-000D-0000-FFFF-FFFF00000000}"/>
  </bookViews>
  <sheets>
    <sheet name="DialogBox"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2" l="1"/>
  <c r="D7" i="2" l="1"/>
  <c r="D8" i="2"/>
  <c r="D9" i="2" l="1"/>
  <c r="D6" i="2"/>
  <c r="D5" i="2"/>
  <c r="D10" i="2" l="1"/>
  <c r="D11" i="2" s="1"/>
</calcChain>
</file>

<file path=xl/sharedStrings.xml><?xml version="1.0" encoding="utf-8"?>
<sst xmlns="http://schemas.openxmlformats.org/spreadsheetml/2006/main" count="390" uniqueCount="284">
  <si>
    <t>Composant : DialogBox</t>
  </si>
  <si>
    <t>Audit</t>
  </si>
  <si>
    <t>Audit V1</t>
  </si>
  <si>
    <t>Date</t>
  </si>
  <si>
    <t>Version</t>
  </si>
  <si>
    <t>1.0.2</t>
  </si>
  <si>
    <t>Nombre de critères conformes</t>
  </si>
  <si>
    <t>Nombre de critères non conformes</t>
  </si>
  <si>
    <t>Nombre de critères non applicable</t>
  </si>
  <si>
    <t>Nombre de critères dérogés</t>
  </si>
  <si>
    <t>Nombre de critères non testés</t>
  </si>
  <si>
    <t>Pourcentage de conformité</t>
  </si>
  <si>
    <t>Pourcentage de non-conformité</t>
  </si>
  <si>
    <t>Thématique</t>
  </si>
  <si>
    <t>N° critère</t>
  </si>
  <si>
    <t>Recommandation</t>
  </si>
  <si>
    <t>Conformité</t>
  </si>
  <si>
    <t>Description de l'erreur / Remarques / Questions</t>
  </si>
  <si>
    <t>Correction</t>
  </si>
  <si>
    <t>IMAGES</t>
  </si>
  <si>
    <t>1.1</t>
  </si>
  <si>
    <t>Chaque image porteuse d’information a-t-elle une alternative textuelle ?</t>
  </si>
  <si>
    <t>Non applicable</t>
  </si>
  <si>
    <t>1.2</t>
  </si>
  <si>
    <t>Chaque image de décoration est-elle correctement ignorée par les technologies d’assistance ?</t>
  </si>
  <si>
    <t>Non conforme</t>
  </si>
  <si>
    <t>L'icône de fermerture de la boîte de dialogue est bien ignorée par les lecteurs d'écrans via un aria-hidden="true".
En revanche, le SVG possède un role="img" (en plus du aria-hidden="true") qui est à supprimer</t>
  </si>
  <si>
    <t>Utilisation du composant du design system SyIcon</t>
  </si>
  <si>
    <t>1.3</t>
  </si>
  <si>
    <t>Pour chaque image porteuse d'information ayant une alternative textuelle, cette alternative est-elle pertinente (hors cas particuliers) ?</t>
  </si>
  <si>
    <t>1.4</t>
  </si>
  <si>
    <t>Pour chaque image utilisée comme CAPTCHA ou comme image-test, ayant une alternative textuelle, cette alternative permet-elle d’identifier la nature et la fonction de l’image ?</t>
  </si>
  <si>
    <t>1.5</t>
  </si>
  <si>
    <t>Pour chaque image utilisée comme CAPTCHA, une solution d’accès alternatif au contenu ou à la fonction du CAPTCHA est-elle présente ?</t>
  </si>
  <si>
    <t>1.6</t>
  </si>
  <si>
    <t>Chaque image porteuse d’information a-t-elle, si nécessaire, une description détaillée ?</t>
  </si>
  <si>
    <t>1.7</t>
  </si>
  <si>
    <t>Pour chaque image porteuse d’information ayant une description détaillée, cette description est-elle pertinente ?</t>
  </si>
  <si>
    <t>1.8</t>
  </si>
  <si>
    <t>Chaque image texte porteuse d’information, en l’absence d’un mécanisme de remplacement, doit si possible être remplacée par du texte stylé. Cette règle est-elle respectée (hors cas particuliers) ?</t>
  </si>
  <si>
    <t>1.9</t>
  </si>
  <si>
    <t>Chaque légende d’image est-elle, si nécessaire, correctement reliée à l’image correspondante ?</t>
  </si>
  <si>
    <t>CADRES</t>
  </si>
  <si>
    <t>2.1</t>
  </si>
  <si>
    <t>Chaque cadre a-t-il un titre de cadre ?</t>
  </si>
  <si>
    <t>2.2</t>
  </si>
  <si>
    <t>Pour chaque cadre ayant un titre de cadre, ce titre de cadre est-il pertinent ?</t>
  </si>
  <si>
    <t>COULEURS</t>
  </si>
  <si>
    <t>3.1</t>
  </si>
  <si>
    <t>Dans chaque page web, l’information ne doit pas être donnée uniquement par la couleur. Cette règle est-elle respectée ?</t>
  </si>
  <si>
    <t>3.2</t>
  </si>
  <si>
    <t>Dans chaque page web, le contraste entre la couleur du texte et la couleur de son arrière-plan est-il suffisamment élevé (hors cas particuliers) ?</t>
  </si>
  <si>
    <t>Conforme</t>
  </si>
  <si>
    <t>Thème par défaut :
  - Titre (16px gras) =&gt; texte noir sur fond blanc =&gt; 16,07 (conforme)
  - Contenu (16px normal) =&gt; texte noir sur fond blanc =&gt; 16,07 (conforme)
  - Libellé du bouton (classique bleu - 16px gras) :
    - normal =&gt; texte blanc sur fond bleu =&gt; 9,38 (conforme)
    - hover =&gt; texte blanc sur fond bleu =&gt; 7,7 (conforme)
    - focus =&gt; texte blanc sur fond bleu =&gt; 5,1 (conforme)
  - Libellé du bouton (classique transparent - 16px gras) :
    - normal =&gt; texte bleu sur fond blanc =&gt; 9,38 (conforme)
    - hover =&gt; texte bleu sur fond gris clair =&gt; 8,8 (conforme)
    - focus =&gt; texte bleu sur fond bleu clair =&gt; 7,6 (conforme)</t>
  </si>
  <si>
    <t>3.3</t>
  </si>
  <si>
    <t>Dans chaque page web, les couleurs utilisées dans les composants d’interface ou les éléments graphiques porteurs d’informations sont-elles suffisamment contrastées (hors cas particuliers) ?</t>
  </si>
  <si>
    <t xml:space="preserve">Thème par défaut :
  - Croix (fermeture) :
    - normal =&gt; icône noir sur fond blanc =&gt; 15,7 (conforme)
    - hover =&gt; icône noir sur fond gris clair =&gt; 14,6 (conforme)
    - focus (icône) =&gt; icône noir sur fond gris =&gt;12,4  (conforme)
    - focus (par rapport au fond contigü) =&gt; bordure grise par rapport fond blanc =&gt; 2,1 (non conforme =&gt; devraît avoir un contraste de 3 minimum)
  - Fond =&gt; fond de la page assombrie (overlay) et fond de la boîte de dialogue =&gt; 5,2 (conforme)
  - Focus du bouton classique bleu (par rapport au fond contigü) =&gt; bordure bleu ciel par rapport fond bleu état normal =&gt; 2,1 (non conforme =&gt; devraît avoir un contraste de 3 minimum)
  - Focus du bouton classique transparent (par rapport au fond contigü) =&gt; bordure bleu ciel par rapport fond blanc =&gt; 1,9 (non conforme =&gt; devraît avoir un contraste de 3 minimum)
  </t>
  </si>
  <si>
    <t>modification des couleur du focus</t>
  </si>
  <si>
    <t>MULTIMÉDIA</t>
  </si>
  <si>
    <t>4.1</t>
  </si>
  <si>
    <t>Chaque média temporel pré-enregistré a-t-il, si nécessaire, une transcription textuelle ou une audiodescription (hors cas particuliers) ?</t>
  </si>
  <si>
    <t>4.2</t>
  </si>
  <si>
    <t>Pour chaque média temporel pré-enregistré ayant une transcription textuelle ou une audiodescription synchronisée, celles-ci sont-elles pertinentes (hors cas particuliers) ?</t>
  </si>
  <si>
    <t>4.3</t>
  </si>
  <si>
    <t>Chaque média temporel synchronisé pré-enregistré a-t-il, si nécessaire, des sous-titres synchronisés (hors cas particuliers) ?</t>
  </si>
  <si>
    <t>4.4</t>
  </si>
  <si>
    <t>Pour chaque média temporel synchronisé pré-enregistré ayant des sous-titres synchronisés, ces sous-titres sont-ils pertinents ?</t>
  </si>
  <si>
    <t>4.5</t>
  </si>
  <si>
    <t>Chaque média temporel pré-enregistré a-t-il, si nécessaire, une audiodescription synchronisée (hors cas particuliers) ?</t>
  </si>
  <si>
    <t>4.6</t>
  </si>
  <si>
    <t>Pour chaque média temporel pré-enregistré ayant une audiodescription synchronisée, celle-ci est-elle pertinente ?</t>
  </si>
  <si>
    <t>4.7</t>
  </si>
  <si>
    <t>Chaque média temporel est-il clairement identifiable (hors cas particuliers) ?</t>
  </si>
  <si>
    <t>4.8</t>
  </si>
  <si>
    <t>Chaque média non temporel a-t-il, si nécessaire, une alternative (hors cas particuliers) ?</t>
  </si>
  <si>
    <t>4.9</t>
  </si>
  <si>
    <t>Pour chaque média non temporel ayant une alternative, cette alternative est-elle pertinente ?</t>
  </si>
  <si>
    <t>4.10</t>
  </si>
  <si>
    <t>Chaque son déclenché automatiquement est-il contrôlable par l’utilisateur ?</t>
  </si>
  <si>
    <t>4.11</t>
  </si>
  <si>
    <t>La consultation de chaque média temporel est-elle, si nécessaire, contrôlable par le clavier et tout dispositif de pointage ?</t>
  </si>
  <si>
    <t>4.12</t>
  </si>
  <si>
    <t>La consultation de chaque média non temporel est-elle contrôlable par le clavier et tout dispositif de pointage ?</t>
  </si>
  <si>
    <t>4.13</t>
  </si>
  <si>
    <t>Chaque média temporel et non temporel est-il compatible avec les technologies d’assistance (hors cas particuliers) ?</t>
  </si>
  <si>
    <t>TABLEAUX</t>
  </si>
  <si>
    <t>5.1</t>
  </si>
  <si>
    <t>Chaque tableau de données complexe a-t-il un résumé ?</t>
  </si>
  <si>
    <t>5.2</t>
  </si>
  <si>
    <t>Pour chaque tableau de données complexe ayant un résumé, celui-ci est-il pertinent ?</t>
  </si>
  <si>
    <t>5.3</t>
  </si>
  <si>
    <t>Pour chaque tableau de mise en forme, le contenu linéarisé reste-t-il compréhensible ?</t>
  </si>
  <si>
    <t>5.4</t>
  </si>
  <si>
    <t>Pour chaque tableau de données ayant un titre, le titre est-il correctement associé au tableau de données ?</t>
  </si>
  <si>
    <t>5.5</t>
  </si>
  <si>
    <t>Pour chaque tableau de données ayant un titre, celui-ci est-il pertinent ?</t>
  </si>
  <si>
    <t>5.6</t>
  </si>
  <si>
    <t>Pour chaque tableau de données, chaque en-tête de colonnes et chaque en-tête de lignes sont-ils correctement déclarés ?</t>
  </si>
  <si>
    <t>5.7</t>
  </si>
  <si>
    <t>Pour chaque tableau de données, la technique appropriée permettant d’associer chaque cellule avec ses en-têtes est-elle utilisée (hors cas particuliers) ?</t>
  </si>
  <si>
    <t>5.8</t>
  </si>
  <si>
    <t>Chaque tableau de mise en forme ne doit pas utiliser d’éléments propres aux tableaux de données. Cette règle est-elle respectée ?</t>
  </si>
  <si>
    <t>LIENS</t>
  </si>
  <si>
    <t>6.1</t>
  </si>
  <si>
    <t>Chaque lien est-il explicite (hors cas particuliers) ?</t>
  </si>
  <si>
    <t>6.2</t>
  </si>
  <si>
    <t>Dans chaque page web, chaque lien a-t-il un intitulé ?</t>
  </si>
  <si>
    <t>SCRIPTS</t>
  </si>
  <si>
    <t>7.1</t>
  </si>
  <si>
    <t>Chaque script est-il, si nécessaire, compatible avec les technologies d’assistance ?</t>
  </si>
  <si>
    <t>Points positifs : 
  - La boîte de dialogue peut se fermer via le bouton Echap
  - La tabulation boucle et ne se fait que sur les enfants de la boîte de dialogue
  - Lors de l'ouverture de la boîte, le focus est placé sur la div contenu et possède un tabindex="-1"
Point négatif :
  - Lors de la fermerture de la boîte de dialogue, le focus est redirigé sur le début de la page au lieu de l'élément déclencheur ou un élément passé en paramètre par le développeur.</t>
  </si>
  <si>
    <t>modification des attributs aria, et gestion du focus avec sauvegarde du dernier élément ayant eu le focus avant ouverture et rétablissement après fermeture,</t>
  </si>
  <si>
    <t>7.2</t>
  </si>
  <si>
    <t>Pour chaque script ayant une alternative, cette alternative est-elle pertinente ?</t>
  </si>
  <si>
    <t>7.3</t>
  </si>
  <si>
    <t>Chaque script est-il contrôlable par le clavier et par tout dispositif de pointage (hors cas particuliers) ?</t>
  </si>
  <si>
    <t>voir 7,1</t>
  </si>
  <si>
    <t>7.4</t>
  </si>
  <si>
    <t>Pour chaque script qui initie un changement de contexte, l’utilisateur est-il averti ou en a-t-il le contrôle ?</t>
  </si>
  <si>
    <t>7.5</t>
  </si>
  <si>
    <t>Dans chaque page web, les messages de statut sont-ils correctement restitués par les technologies d’assistance ?</t>
  </si>
  <si>
    <t>ÉLÉMENTS OBLIGATOIRES</t>
  </si>
  <si>
    <t>8.1</t>
  </si>
  <si>
    <t>Chaque page web est-elle définie par un type de document ?</t>
  </si>
  <si>
    <t>8.2</t>
  </si>
  <si>
    <t>Pour chaque page web, le code source généré est-il valide selon le type de document spécifié (hors cas particuliers) ?</t>
  </si>
  <si>
    <t>Erreurs remontées par le validateur HTML W3C :
  - The aria-labelledby attribute must point to an element in the same document. (voir critère 7.1)</t>
  </si>
  <si>
    <t>fix de l'attribut avec utilisation de l'id du titre de la modale</t>
  </si>
  <si>
    <t>8.3</t>
  </si>
  <si>
    <t>Dans chaque page web, la langue par défaut est-elle présente ?</t>
  </si>
  <si>
    <t>8.4</t>
  </si>
  <si>
    <t>Pour chaque page web ayant une langue par défaut, le code de langue est-il pertinent ?</t>
  </si>
  <si>
    <t>8.5</t>
  </si>
  <si>
    <t>Chaque page web a-t-elle un titre de page ?</t>
  </si>
  <si>
    <t>8.6</t>
  </si>
  <si>
    <t>Pour chaque page web ayant un titre de page, ce titre est-il pertinent ?</t>
  </si>
  <si>
    <t>8.7</t>
  </si>
  <si>
    <t>Dans chaque page web, chaque changement de langue est-il indiqué dans le code source (hors cas particuliers) ?</t>
  </si>
  <si>
    <t>8.8</t>
  </si>
  <si>
    <t>Dans chaque page web, le code de langue de chaque changement de langue est-il valide et pertinent ?</t>
  </si>
  <si>
    <t>8.9</t>
  </si>
  <si>
    <t>Dans chaque page web, les balises ne doivent pas être utilisées uniquement à des fins de présentation. Cette règle est-elle respectée ?</t>
  </si>
  <si>
    <t>8.10</t>
  </si>
  <si>
    <t>Dans chaque page web, les changements du sens de lecture sont-ils signalés ?</t>
  </si>
  <si>
    <t>STRUCTURATION</t>
  </si>
  <si>
    <t>9.1</t>
  </si>
  <si>
    <t>Dans chaque page web, l’information est-elle structurée par l’utilisation appropriée de titres ?</t>
  </si>
  <si>
    <t>Attention, l'exemple "Title Slot"  de la documentation illustre une titre sous la forme d'un bouton. C'est une non-conformité à ce critère.</t>
  </si>
  <si>
    <t>modification de la storie</t>
  </si>
  <si>
    <t>9.2</t>
  </si>
  <si>
    <t>Dans chaque page web, la structure du document est-elle cohérente (hors cas particuliers) ?</t>
  </si>
  <si>
    <t>9.3</t>
  </si>
  <si>
    <t>Dans chaque page web, chaque liste est-elle correctement structurée ?</t>
  </si>
  <si>
    <t>9.4</t>
  </si>
  <si>
    <t>Dans chaque page web, chaque citation est-elle correctement indiquée ?</t>
  </si>
  <si>
    <t>PRÉSENTATION</t>
  </si>
  <si>
    <t>10.1</t>
  </si>
  <si>
    <t>Dans le site web, des feuilles de styles sont-elles utilisées pour contrôler la présentation de l’information ?</t>
  </si>
  <si>
    <t>Aucune balise ou attribut servant à la présentation de l'information n'est présent sur le composant, les styles sont bien réalisés par CSS. 
Une attention particulière est notée pour les espaces (sur un mot, un tableau ou pour simuler de la présentation) qui est de la responsabilité du contributeur</t>
  </si>
  <si>
    <t>10.2</t>
  </si>
  <si>
    <t>Dans chaque page web, le contenu visible porteur d’information reste-t-il présent lorsque les feuilles de styles sont désactivées ?</t>
  </si>
  <si>
    <t>Le composant est visible lorsque les feuilles de syles sont désactivées.</t>
  </si>
  <si>
    <t>10.3</t>
  </si>
  <si>
    <t>Dans chaque page web, l’information reste-t-elle compréhensible lorsque les feuilles de styles sont désactivées ?</t>
  </si>
  <si>
    <t>L'information reste compréhensible car chaque élément utilise un élément HTML approprié et l'ordre ne nuit pas à la compréhension du composant.</t>
  </si>
  <si>
    <t>10.4</t>
  </si>
  <si>
    <t>Dans chaque page web, le texte reste-t-il lisible lorsque la taille des caractères est augmentée jusqu’à 200%, au moins (hors cas particuliers) ?</t>
  </si>
  <si>
    <t xml:space="preserve">Aucun problème de lisibilité, que ce soit en zoom écran ou zoom texte à 200%. </t>
  </si>
  <si>
    <t>10.5</t>
  </si>
  <si>
    <t>Dans chaque page web, les déclarations CSS de couleurs de fond d’élément et de police sont-elles correctement utilisées ?</t>
  </si>
  <si>
    <t>Oui, chaque élément possède une couleur de fond et de polices, au moins, héritée d’un parent.</t>
  </si>
  <si>
    <t>10.6</t>
  </si>
  <si>
    <t>Dans chaque page web, chaque lien dont la nature n’est pas évidente est-il visible par rapport au texte environnant ?</t>
  </si>
  <si>
    <t>10.7</t>
  </si>
  <si>
    <t>Dans chaque page web, pour chaque élément recevant le focus, la prise de focus est-elle visible ?</t>
  </si>
  <si>
    <t>Le focus au niveau des boutons est non conforme (voir critère 3.3)</t>
  </si>
  <si>
    <t>voir 3,3</t>
  </si>
  <si>
    <t>10.8</t>
  </si>
  <si>
    <t>Pour chaque page web, les contenus cachés ont-ils vocation à être ignorés par les technologies d’assistance ?</t>
  </si>
  <si>
    <t>10.9</t>
  </si>
  <si>
    <t>Dans chaque page web, l’information ne doit pas être donnée uniquement par la forme, taille ou position. Cette règle est-elle respectée ?</t>
  </si>
  <si>
    <t>L'icône de fermerture possède un nom accessible pour l'identifier comme tel.</t>
  </si>
  <si>
    <t>10.10</t>
  </si>
  <si>
    <t>Dans chaque page web, l’information ne doit pas être donnée par la forme, taille ou position uniquement. Cette règle est-elle implémentée de façon pertinente ?</t>
  </si>
  <si>
    <t>Le nom accessible de l'icône de fermeture est explicite : "Fermer la boîte de dialogue"</t>
  </si>
  <si>
    <t>10.11</t>
  </si>
  <si>
    <t>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t>
  </si>
  <si>
    <t>Aucun troncage de texte. Le composant n'oblige pas à avoir recours au défilement afin de permettre la visualisuation complète du contenu.</t>
  </si>
  <si>
    <t>10.12</t>
  </si>
  <si>
    <t>Dans chaque page web, les propriétés d’espacement du texte peuvent-elles être redéfinies par l’utilisateur sans perte de contenu ou de fonctionnalité (hors cas particuliers) ?</t>
  </si>
  <si>
    <t>Testé avec Assistant RGAA :
body {
line-height: 1.5 !important;
letter-spacing: 0.12em !important;
 word-spacing: 0.16em !important;
}
p { margin-bottom: 2em !important; }
Les propriétés line-height et letter-spacing ne sont pas appliquées sur  le titre à cause des !important sur la class .text-h6</t>
  </si>
  <si>
    <t>Suppression des importants</t>
  </si>
  <si>
    <t>10.13</t>
  </si>
  <si>
    <t>Dans chaque page web, les contenus additionnels apparaissant à la prise de focus ou au survol d’un composant d’interface sont-ils contrôlables par l’utilisateur (hors cas particuliers) ?</t>
  </si>
  <si>
    <t>Ce composant n'est actuellement pas conforme au pattern W3C "dialog" donc il est ciblé par ce critère.
Le composant possède trois mécanismes de fermerture (clic sur l'overlay, touche Echap ou bouton de fermeture) et reste visible jusqu’à ce que l’utilisateur déclenche une action masquant ce contenu sans déplacer le focus ou le pointeur de la souris du bouton de déclenchement.</t>
  </si>
  <si>
    <t>10.14</t>
  </si>
  <si>
    <t>Dans chaque page web, les contenus additionnels apparaissant via les styles CSS uniquement peuvent-ils être rendus visibles au clavier et par tout dispositif de pointage ?</t>
  </si>
  <si>
    <t>FORMULAIRES</t>
  </si>
  <si>
    <t>11.1</t>
  </si>
  <si>
    <t>Chaque champ de formulaire a-t-il une étiquette ?</t>
  </si>
  <si>
    <t>11.2</t>
  </si>
  <si>
    <t>Chaque étiquette associée à un champ de formulaire est-elle pertinente (hors cas particuliers) ?</t>
  </si>
  <si>
    <t>11.3</t>
  </si>
  <si>
    <t>Dans chaque formulaire, chaque étiquette associée à un champ de formulaire ayant la même fonction et répété plusieurs fois dans une même page ou dans un ensemble de pages est-elle cohérente ?</t>
  </si>
  <si>
    <t>11.4</t>
  </si>
  <si>
    <t>Dans chaque formulaire, chaque étiquette de champ et son champ associé sont-ils accolés (hors cas particuliers) ?</t>
  </si>
  <si>
    <t>11.5</t>
  </si>
  <si>
    <t>Dans chaque formulaire, les champs de même nature sont-ils regroupés, si nécessaire ?</t>
  </si>
  <si>
    <t>11.6</t>
  </si>
  <si>
    <t>Dans chaque formulaire, chaque regroupement de champs de même nature a-t-il une légende ?</t>
  </si>
  <si>
    <t>11.7</t>
  </si>
  <si>
    <t>Dans chaque formulaire, chaque légende associée à un regroupement de champs de même nature est-elle pertinente ?</t>
  </si>
  <si>
    <t>11.8</t>
  </si>
  <si>
    <t>Dans chaque formulaire, les items de même nature d’une liste de choix sont-ils regroupées de manière pertinente ?</t>
  </si>
  <si>
    <t>11.9</t>
  </si>
  <si>
    <t>Dans chaque formulaire, l’intitulé de chaque bouton est-il pertinent (hors cas particuliers) ?</t>
  </si>
  <si>
    <t>11.10</t>
  </si>
  <si>
    <t>Dans chaque formulaire, le contrôle de saisie est-il utilisé de manière pertinente (hors cas particuliers) ?</t>
  </si>
  <si>
    <t>11.11</t>
  </si>
  <si>
    <t>Dans chaque formulaire, le contrôle de saisie est-il accompagné, si nécessaire, de suggestions facilitant la correction des erreurs de saisie ?</t>
  </si>
  <si>
    <t>11.12</t>
  </si>
  <si>
    <t>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t>
  </si>
  <si>
    <t>11.13</t>
  </si>
  <si>
    <t>La finalité d’un champ de saisie peut-elle être déduite pour faciliter le remplissage automatique des champs avec les données de l’utilisateur ?</t>
  </si>
  <si>
    <t>NAVIGATION</t>
  </si>
  <si>
    <t>12.1</t>
  </si>
  <si>
    <t>Chaque ensemble de pages dispose-t-il de deux systèmes de navigation différents, au moins (hors cas particuliers) ?</t>
  </si>
  <si>
    <t>12.2</t>
  </si>
  <si>
    <t>Dans chaque ensemble de pages, le menu et les barres de navigation sont-ils toujours à la même place (hors cas particuliers) ?</t>
  </si>
  <si>
    <t>12.3</t>
  </si>
  <si>
    <t>La page « plan du site » est-elle pertinente ?</t>
  </si>
  <si>
    <t>12.4</t>
  </si>
  <si>
    <t>Dans chaque ensemble de pages, la page « plan du site » est-elle atteignable de manière identique ?</t>
  </si>
  <si>
    <t>12.5</t>
  </si>
  <si>
    <t>Dans chaque ensemble de pages, le moteur de recherche est-il atteignable de manière identique ?</t>
  </si>
  <si>
    <t>12.6</t>
  </si>
  <si>
    <t>Les zones de regroupement de contenus présentes dans plusieurs pages web (zones d’en-tête, de navigation principale, de contenu principal, de pied de page et de moteur de recherche) peuvent-elles être atteintes ou évitées ?</t>
  </si>
  <si>
    <t>12.7</t>
  </si>
  <si>
    <t>Dans chaque page web, un lien d’évitement ou d’accès rapide à la zone de contenu principal est-il présent (hors cas particuliers) ?</t>
  </si>
  <si>
    <t>12.8</t>
  </si>
  <si>
    <t>Dans chaque page web, l’ordre de tabulation est-il cohérent ?</t>
  </si>
  <si>
    <t>Au format mobile, l'ordre de tabulation des boutons "Valider" et "Annuler" est inversé. Soit on doit ré-inverser visuellement pour que mobile = desktop visuellement et lors de la tabulation. Soit on fait une exception en gérant dans le DOM le cas mobile d'une part (Valider/Annuler) et le cas desktop d'autre part (Annuler/Valider). Il est fortement déconseillé d'utiliser la solution tabindex.</t>
  </si>
  <si>
    <t>Réorganisation des bouttons dans le template</t>
  </si>
  <si>
    <t>12.9</t>
  </si>
  <si>
    <t>Dans chaque page web, la navigation ne doit pas contenir de piège au clavier. Cette règle est-elle respectée ?</t>
  </si>
  <si>
    <t>La navigation est conforme au pattern W3C Dialog (voir critère 7.1)</t>
  </si>
  <si>
    <t>12.10</t>
  </si>
  <si>
    <t>Dans chaque page web, les raccourcis clavier n’utilisant qu’une seule touche (lettre minuscule ou majuscule, ponctuation, chiffre ou symbole) sont-ils contrôlables par l’utilisateur ?</t>
  </si>
  <si>
    <t>12.11</t>
  </si>
  <si>
    <t>Dans chaque page web, les contenus additionnels apparaissant au survol, à la prise de focus ou à l’activation d’un composant d’interface sont-ils si nécessaire atteignables au clavier ?</t>
  </si>
  <si>
    <t>La boîte de dialogue et ses enfants sont atteignables au clavier.</t>
  </si>
  <si>
    <t>CONSULTATION</t>
  </si>
  <si>
    <t>13.1</t>
  </si>
  <si>
    <t>Pour chaque page web, l’utilisateur a-t-il le contrôle de chaque limite de temps modifiant le contenu (hors cas particuliers) ?</t>
  </si>
  <si>
    <t>13.2</t>
  </si>
  <si>
    <t>Dans chaque page web, l’ouverture d’une nouvelle fenêtre ne doit pas être déclenchée sans action de l’utilisateur. Cette règle est-elle respectée ?</t>
  </si>
  <si>
    <t>13.3</t>
  </si>
  <si>
    <t>Dans chaque page web, chaque document bureautique en téléchargement possède-t-il, si nécessaire, une version accessible (hors cas particuliers) ?</t>
  </si>
  <si>
    <t>13.4</t>
  </si>
  <si>
    <t>Pour chaque document bureautique ayant une version accessible, cette version offre-t-elle la même information ?</t>
  </si>
  <si>
    <t>13.5</t>
  </si>
  <si>
    <t>Dans chaque page web, chaque contenu cryptique (art ASCII, émoticon, syntaxe cryptique) a-t-il une alternative ?</t>
  </si>
  <si>
    <t>13.6</t>
  </si>
  <si>
    <t>Dans chaque page web, pour chaque contenu cryptique (art ASCII, émoticon, syntaxe cryptique) ayant une alternative, cette alternative est-elle pertinente ?</t>
  </si>
  <si>
    <t>13.7</t>
  </si>
  <si>
    <t>Dans chaque page web, les changements brusques de luminosité ou les effets de flash sont-ils correctement utilisés ?</t>
  </si>
  <si>
    <t>13.8</t>
  </si>
  <si>
    <t>Dans chaque page web, chaque contenu en mouvement ou clignotant est-il contrôlable par l’utilisateur ?</t>
  </si>
  <si>
    <t>13.9</t>
  </si>
  <si>
    <t>Dans chaque page web, le contenu proposé est-il consultable quelle que soit l’orientation de l’écran (portait ou paysage) (hors cas particuliers) ?</t>
  </si>
  <si>
    <t>13.10</t>
  </si>
  <si>
    <t>Dans chaque page web, les fonctionnalités utilisables ou disponibles au moyen d’un geste complexe peuvent-elles être également disponibles au moyen d’un geste simple (hors cas particuliers) ?</t>
  </si>
  <si>
    <t>13.11</t>
  </si>
  <si>
    <t>Dans chaque page web, les actions déclenchées au moyen d’un dispositif de pointage sur un point unique de l’écran peuvent-elles faire l’objet d’une annulation (hors cas particuliers) ?</t>
  </si>
  <si>
    <t>13.12</t>
  </si>
  <si>
    <t>Dans chaque page web, les fonctionnalités qui impliquent un mouvement de l’appareil ou vers l’appareil peuvent-elles être satisfaites de manière alternative (hors cas particuliers) ?</t>
  </si>
  <si>
    <t>Spécificité</t>
  </si>
  <si>
    <t>Source technique</t>
  </si>
  <si>
    <t>Le pattern de conception W3C est "Dialog Modal". Le container doit :
  - avoir le rôle "dialog"
  - avoir l'attribut aria-modal="true"
  - posséder un nom accessible (via aria-label ou aria-labelledby)
  - (optionnellement) posséder une description accessible sauf si la boîte contient des structures sémantiques (listes, tableaux, plusieurs paragraphes, etc.)</t>
  </si>
  <si>
    <t>- https://www.w3.org/WAI/ARIA/apg/patterns/dialog-modal/examples/dialog/
- https://www.accede-web.com/notices/interface-riche/fenetres-modales/</t>
  </si>
  <si>
    <t>1- L'élément déclencheur devra donner le focus sur un élément précis de la boîte. Cet élément diffère selon les situations :
  - Si structures sémantiques complexes =&gt; un élément statique au début du contenu + tabindex="-1"
  - S'il s'agit d'une dernière étape d'un processus difficilement réversible (ex: suppression de données) =&gt; bouton d'annulation ou de fermerture
  - S'il s'agit d'information de lecture ou de poursuite d'un traitement =&gt; bouton "continuer" ou de fermerture
  - Sinon =&gt; le titre (avec un taxbindex="-1") ou le bouton de fermeture
2- Lors de la fermerture de la boîte de dialogue, le focus doit revenir sur l'élément déclencheur sauf si :
  - cet élément déclencheur n'existe plus =&gt; focus placé sur un autre élément dans l'ordre logique du flux de lecture
  - il est peu probable que l'utilisateur ait besoin de réouvrir la boîte de dialogue ou que celle-ci concerne une étape ultérieure terminée (ex : au sein d'une boîte d'outil, boîte de dialogue demandant le nombre de ligne à créer pour faire un tableau =&gt; focus sur la première cellule du tableau nouvellement créé).
3- La présence d'un bouton de fermerture est fortement recommandé.
4- Le contenu de la boîte de dialogue n'est pas présent dans le DOM si non visible ou possède un display:none ou visibility:hidden</t>
  </si>
  <si>
    <t>Une fois la boîte de dialogue ouverte, le focus ne devra se déplacer qu'entre les éléments interactifs enfants de cette boîte. La tabulation boucle sur les enfants (si on arrive au dernier élément, le prochain sera le premier et inversement).
Les interactions clavier sont :
  - Tab / Shift+Tab : Déplace le focus vers l'élément interactif suivant (ou précédent si Shift+Tab). Boucle uniquement sur les enfants de la boîte de dialogue
  - Echap : Ferme la boîte de dialogue</t>
  </si>
  <si>
    <t>Correction post audit V1 - (voir - https://github.com/assurance-maladie-digital/design-system/issues/853)</t>
  </si>
  <si>
    <t>0.0.16-alpha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</si>
</sst>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2"/>
      <color theme="1"/>
      <name val="Aptos Narrow"/>
      <family val="2"/>
      <scheme val="minor"/>
    </font>
    <font>
      <sz val="12"/>
      <color theme="1"/>
      <name val="Aptos Narrow"/>
      <family val="2"/>
      <scheme val="minor"/>
    </font>
    <font>
      <b/>
      <sz val="12"/>
      <color rgb="FFFFFFFF"/>
      <name val="Aptos Narrow"/>
      <scheme val="minor"/>
    </font>
    <font>
      <sz val="12"/>
      <color theme="1"/>
      <name val="Aptos Narrow"/>
      <scheme val="minor"/>
    </font>
    <font>
      <b/>
      <sz val="12"/>
      <color rgb="FF000000"/>
      <name val="Aptos Narrow"/>
      <scheme val="minor"/>
    </font>
    <font>
      <sz val="12"/>
      <color rgb="FF000000"/>
      <name val="Aptos Narrow"/>
      <scheme val="minor"/>
    </font>
    <font>
      <sz val="14"/>
      <color theme="1"/>
      <name val="Aptos Narrow"/>
      <family val="2"/>
      <scheme val="minor"/>
    </font>
    <font>
      <b/>
      <sz val="14"/>
      <color theme="0"/>
      <name val="Aptos Narrow"/>
      <family val="2"/>
      <scheme val="minor"/>
    </font>
    <font>
      <sz val="12"/>
      <name val="Aptos Narrow"/>
      <scheme val="minor"/>
    </font>
    <font>
      <sz val="14"/>
      <name val="Aptos Narrow"/>
      <scheme val="minor"/>
    </font>
    <font>
      <sz val="14"/>
      <color theme="1"/>
      <name val="Aptos Narrow"/>
      <scheme val="minor"/>
    </font>
    <font>
      <sz val="12"/>
      <color theme="0"/>
      <name val="Aptos Narrow"/>
      <scheme val="minor"/>
    </font>
    <font>
      <b/>
      <sz val="14"/>
      <name val="Aptos Narrow"/>
      <scheme val="minor"/>
    </font>
    <font>
      <b/>
      <sz val="14"/>
      <color theme="1"/>
      <name val="Aptos Narrow"/>
      <scheme val="minor"/>
    </font>
    <font>
      <sz val="12"/>
      <color rgb="FF006100"/>
      <name val="Aptos Narrow"/>
      <scheme val="minor"/>
    </font>
    <font>
      <sz val="12"/>
      <color rgb="FF00611B"/>
      <name val="Aptos Narrow"/>
      <scheme val="minor"/>
    </font>
  </fonts>
  <fills count="8">
    <fill>
      <patternFill patternType="none"/>
    </fill>
    <fill>
      <patternFill patternType="gray125"/>
    </fill>
    <fill>
      <patternFill patternType="solid">
        <fgColor theme="0"/>
        <bgColor indexed="64"/>
      </patternFill>
    </fill>
    <fill>
      <patternFill patternType="solid">
        <fgColor rgb="FF000091"/>
        <bgColor indexed="64"/>
      </patternFill>
    </fill>
    <fill>
      <patternFill patternType="solid">
        <fgColor rgb="FF000091"/>
        <bgColor rgb="FF2D77D0"/>
      </patternFill>
    </fill>
    <fill>
      <patternFill patternType="solid">
        <fgColor rgb="FF000091"/>
        <bgColor rgb="FFC81A71"/>
      </patternFill>
    </fill>
    <fill>
      <patternFill patternType="solid">
        <fgColor rgb="FFC6EFCE"/>
        <bgColor rgb="FF000000"/>
      </patternFill>
    </fill>
    <fill>
      <patternFill patternType="solid">
        <fgColor rgb="FFC6EFCE"/>
        <bgColor indexed="64"/>
      </patternFill>
    </fill>
  </fills>
  <borders count="13">
    <border>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9" fontId="1" fillId="0" borderId="0" applyFont="0" applyFill="0" applyBorder="0" applyAlignment="0" applyProtection="0"/>
  </cellStyleXfs>
  <cellXfs count="47">
    <xf numFmtId="0" fontId="0" fillId="0" borderId="0" xfId="0"/>
    <xf numFmtId="0" fontId="3" fillId="0" borderId="0" xfId="0" applyFont="1"/>
    <xf numFmtId="0" fontId="4" fillId="0" borderId="2" xfId="0" applyFont="1" applyBorder="1" applyAlignment="1">
      <alignment horizontal="center" vertical="center" wrapText="1"/>
    </xf>
    <xf numFmtId="0" fontId="5" fillId="0" borderId="2" xfId="0" applyFont="1" applyBorder="1" applyAlignment="1">
      <alignment horizontal="left" vertical="center" wrapText="1"/>
    </xf>
    <xf numFmtId="0" fontId="7" fillId="3" borderId="5" xfId="0" applyFont="1" applyFill="1" applyBorder="1"/>
    <xf numFmtId="0" fontId="6" fillId="2" borderId="6" xfId="0" applyFont="1" applyFill="1" applyBorder="1" applyAlignment="1">
      <alignment horizontal="left" vertical="top"/>
    </xf>
    <xf numFmtId="0" fontId="7" fillId="3" borderId="7" xfId="0" applyFont="1" applyFill="1" applyBorder="1"/>
    <xf numFmtId="0" fontId="8" fillId="0" borderId="0" xfId="0" applyFont="1" applyAlignment="1">
      <alignment horizontal="center" vertical="center" wrapText="1"/>
    </xf>
    <xf numFmtId="14" fontId="10" fillId="0" borderId="5" xfId="0" applyNumberFormat="1" applyFont="1" applyBorder="1"/>
    <xf numFmtId="0" fontId="10" fillId="0" borderId="5" xfId="0" applyFont="1" applyBorder="1"/>
    <xf numFmtId="0" fontId="11" fillId="3" borderId="5" xfId="0" applyFont="1" applyFill="1" applyBorder="1"/>
    <xf numFmtId="0" fontId="3" fillId="0" borderId="5" xfId="0" applyFont="1" applyBorder="1" applyAlignment="1">
      <alignment horizontal="left" vertical="top" wrapText="1"/>
    </xf>
    <xf numFmtId="0" fontId="3" fillId="0" borderId="5" xfId="0" quotePrefix="1" applyFont="1" applyBorder="1" applyAlignment="1">
      <alignment horizontal="left" vertical="top" wrapText="1"/>
    </xf>
    <xf numFmtId="0" fontId="10" fillId="0" borderId="5" xfId="0" applyFont="1" applyBorder="1" applyAlignment="1">
      <alignment horizontal="right" vertical="top"/>
    </xf>
    <xf numFmtId="9" fontId="13" fillId="0" borderId="5" xfId="1" applyFont="1" applyFill="1" applyBorder="1"/>
    <xf numFmtId="0" fontId="3" fillId="0" borderId="5" xfId="0" quotePrefix="1" applyFont="1" applyBorder="1" applyAlignment="1">
      <alignment horizontal="left" vertical="top"/>
    </xf>
    <xf numFmtId="0" fontId="7" fillId="3" borderId="11" xfId="0" applyFont="1" applyFill="1" applyBorder="1"/>
    <xf numFmtId="0" fontId="3" fillId="0" borderId="5" xfId="0" applyFont="1" applyBorder="1"/>
    <xf numFmtId="0" fontId="13" fillId="0" borderId="5" xfId="0" applyFont="1" applyBorder="1" applyAlignment="1">
      <alignment horizontal="right"/>
    </xf>
    <xf numFmtId="0" fontId="14" fillId="6" borderId="5" xfId="0" applyFont="1" applyFill="1" applyBorder="1" applyAlignment="1">
      <alignment horizontal="left" vertical="top" wrapText="1"/>
    </xf>
    <xf numFmtId="0" fontId="15" fillId="7" borderId="5" xfId="0" applyFont="1" applyFill="1" applyBorder="1" applyAlignment="1">
      <alignment vertical="top" wrapText="1"/>
    </xf>
    <xf numFmtId="0" fontId="15" fillId="7" borderId="5" xfId="0" applyFont="1" applyFill="1" applyBorder="1" applyAlignment="1">
      <alignment vertical="top"/>
    </xf>
    <xf numFmtId="0" fontId="2" fillId="4" borderId="4" xfId="0" applyFont="1" applyFill="1" applyBorder="1" applyAlignment="1">
      <alignment horizontal="center" vertical="center" textRotation="90" wrapText="1"/>
    </xf>
    <xf numFmtId="0" fontId="2" fillId="4" borderId="3" xfId="0" applyFont="1" applyFill="1" applyBorder="1" applyAlignment="1">
      <alignment horizontal="center" vertical="center" textRotation="90" wrapText="1"/>
    </xf>
    <xf numFmtId="0" fontId="2" fillId="4" borderId="1" xfId="0" applyFont="1" applyFill="1" applyBorder="1" applyAlignment="1">
      <alignment horizontal="center" vertical="center" textRotation="90" wrapText="1"/>
    </xf>
    <xf numFmtId="0" fontId="12" fillId="0" borderId="6" xfId="0" applyFont="1" applyBorder="1" applyAlignment="1">
      <alignment horizontal="left" vertical="top" wrapText="1"/>
    </xf>
    <xf numFmtId="0" fontId="12" fillId="0" borderId="9" xfId="0" applyFont="1" applyBorder="1" applyAlignment="1">
      <alignment horizontal="left" vertical="top" wrapText="1"/>
    </xf>
    <xf numFmtId="0" fontId="12" fillId="0" borderId="10" xfId="0" applyFont="1" applyBorder="1" applyAlignment="1">
      <alignment horizontal="left" vertical="top" wrapText="1"/>
    </xf>
    <xf numFmtId="0" fontId="3" fillId="0" borderId="6" xfId="0" applyFont="1" applyBorder="1" applyAlignment="1">
      <alignment horizontal="left" vertical="top"/>
    </xf>
    <xf numFmtId="0" fontId="3" fillId="0" borderId="9" xfId="0" applyFont="1" applyBorder="1" applyAlignment="1">
      <alignment horizontal="left" vertical="top"/>
    </xf>
    <xf numFmtId="0" fontId="3" fillId="0" borderId="10" xfId="0" applyFont="1" applyBorder="1" applyAlignment="1">
      <alignment horizontal="left" vertical="top"/>
    </xf>
    <xf numFmtId="0" fontId="3" fillId="0" borderId="6" xfId="0" applyFont="1" applyBorder="1" applyAlignment="1">
      <alignment horizontal="left" vertical="top" wrapText="1"/>
    </xf>
    <xf numFmtId="0" fontId="3" fillId="0" borderId="9" xfId="0" applyFont="1" applyBorder="1" applyAlignment="1">
      <alignment horizontal="left" vertical="top" wrapText="1"/>
    </xf>
    <xf numFmtId="0" fontId="3" fillId="0" borderId="10" xfId="0" applyFont="1" applyBorder="1" applyAlignment="1">
      <alignment horizontal="left" vertical="top" wrapText="1"/>
    </xf>
    <xf numFmtId="0" fontId="11" fillId="3" borderId="5" xfId="0" applyFont="1" applyFill="1" applyBorder="1" applyAlignment="1">
      <alignment horizontal="left"/>
    </xf>
    <xf numFmtId="0" fontId="3" fillId="0" borderId="5" xfId="0" applyFont="1" applyBorder="1" applyAlignment="1">
      <alignment horizontal="left" vertical="top" wrapText="1"/>
    </xf>
    <xf numFmtId="0" fontId="9" fillId="0" borderId="5" xfId="0" applyFont="1" applyBorder="1" applyAlignment="1">
      <alignment horizontal="left" vertical="top" wrapText="1"/>
    </xf>
    <xf numFmtId="0" fontId="2" fillId="4" borderId="8" xfId="0" applyFont="1" applyFill="1" applyBorder="1" applyAlignment="1">
      <alignment horizontal="center" vertical="center" textRotation="90" wrapText="1"/>
    </xf>
    <xf numFmtId="0" fontId="2" fillId="5" borderId="0" xfId="0" applyFont="1" applyFill="1" applyAlignment="1">
      <alignment horizontal="center" vertical="center" wrapText="1"/>
    </xf>
    <xf numFmtId="0" fontId="9" fillId="0" borderId="6" xfId="0" applyFont="1" applyBorder="1" applyAlignment="1">
      <alignment horizontal="left" vertical="top" wrapText="1"/>
    </xf>
    <xf numFmtId="0" fontId="9" fillId="0" borderId="9" xfId="0" applyFont="1" applyBorder="1" applyAlignment="1">
      <alignment horizontal="left" vertical="top" wrapText="1"/>
    </xf>
    <xf numFmtId="0" fontId="9" fillId="0" borderId="10" xfId="0" applyFont="1" applyBorder="1" applyAlignment="1">
      <alignment horizontal="left" vertical="top" wrapText="1"/>
    </xf>
    <xf numFmtId="0" fontId="12" fillId="0" borderId="5" xfId="0" applyFont="1" applyBorder="1" applyAlignment="1">
      <alignment horizontal="left" vertical="center" wrapText="1"/>
    </xf>
    <xf numFmtId="0" fontId="13" fillId="0" borderId="12" xfId="0" applyFont="1" applyBorder="1" applyAlignment="1">
      <alignment horizontal="right"/>
    </xf>
    <xf numFmtId="0" fontId="10" fillId="0" borderId="12" xfId="0" applyFont="1" applyBorder="1" applyAlignment="1">
      <alignment horizontal="right"/>
    </xf>
    <xf numFmtId="9" fontId="13" fillId="0" borderId="12" xfId="0" applyNumberFormat="1" applyFont="1" applyBorder="1" applyAlignment="1">
      <alignment horizontal="right"/>
    </xf>
    <xf numFmtId="14" fontId="10" fillId="0" borderId="1" xfId="0" applyNumberFormat="1" applyFont="1" applyBorder="1" applyAlignment="1">
      <alignment horizontal="right"/>
    </xf>
  </cellXfs>
  <cellStyles count="2">
    <cellStyle name="Normal" xfId="0" builtinId="0"/>
    <cellStyle name="Pourcentage" xfId="1" builtinId="5"/>
  </cellStyles>
  <dxfs count="12">
    <dxf>
      <font>
        <color rgb="FF9C0006"/>
      </font>
      <fill>
        <patternFill>
          <bgColor rgb="FFFFC7CE"/>
        </patternFill>
      </fill>
    </dxf>
    <dxf>
      <font>
        <color rgb="FF006100"/>
      </font>
      <fill>
        <patternFill>
          <bgColor rgb="FFC6EFCE"/>
        </patternFill>
      </fill>
    </dxf>
    <dxf>
      <font>
        <color theme="8" tint="-0.24994659260841701"/>
      </font>
      <fill>
        <patternFill>
          <bgColor theme="8" tint="0.79998168889431442"/>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theme="8" tint="-0.24994659260841701"/>
      </font>
      <fill>
        <patternFill>
          <bgColor theme="8" tint="0.79998168889431442"/>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theme="8" tint="-0.24994659260841701"/>
      </font>
      <fill>
        <patternFill>
          <bgColor theme="8" tint="0.79998168889431442"/>
        </patternFill>
      </fill>
    </dxf>
    <dxf>
      <font>
        <color rgb="FF9C5700"/>
      </font>
      <fill>
        <patternFill>
          <bgColor rgb="FFFFEB9C"/>
        </patternFill>
      </fill>
    </dxf>
  </dxfs>
  <tableStyles count="0" defaultTableStyle="TableStyleMedium2" defaultPivotStyle="PivotStyleLight16"/>
  <colors>
    <mruColors>
      <color rgb="FFC6EFCE"/>
      <color rgb="FF00611B"/>
      <color rgb="FF0000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27"/>
  <sheetViews>
    <sheetView tabSelected="1" zoomScale="110" zoomScaleNormal="110" workbookViewId="0">
      <selection activeCell="G10" sqref="G10"/>
    </sheetView>
  </sheetViews>
  <sheetFormatPr baseColWidth="10" defaultColWidth="10.83203125" defaultRowHeight="16"/>
  <cols>
    <col min="1" max="1" width="15" style="1" customWidth="1"/>
    <col min="2" max="2" width="10.33203125" style="1" bestFit="1" customWidth="1"/>
    <col min="3" max="3" width="59.83203125" style="1" customWidth="1"/>
    <col min="4" max="4" width="15.1640625" style="1" bestFit="1" customWidth="1"/>
    <col min="5" max="5" width="143.5" style="1" bestFit="1" customWidth="1"/>
    <col min="6" max="6" width="17.1640625" style="1" customWidth="1"/>
    <col min="7" max="16384" width="10.83203125" style="1"/>
  </cols>
  <sheetData>
    <row r="1" spans="1:6" ht="32" customHeight="1">
      <c r="A1" s="38" t="s">
        <v>0</v>
      </c>
      <c r="B1" s="38"/>
      <c r="C1" s="38"/>
      <c r="D1" s="38"/>
    </row>
    <row r="2" spans="1:6" ht="19">
      <c r="A2" s="42" t="s">
        <v>1</v>
      </c>
      <c r="B2" s="42"/>
      <c r="C2" s="42"/>
      <c r="D2" s="18" t="s">
        <v>2</v>
      </c>
      <c r="E2" s="43" t="s">
        <v>282</v>
      </c>
    </row>
    <row r="3" spans="1:6" ht="19">
      <c r="A3" s="36" t="s">
        <v>3</v>
      </c>
      <c r="B3" s="36"/>
      <c r="C3" s="36"/>
      <c r="D3" s="8">
        <v>45849</v>
      </c>
      <c r="E3" s="46">
        <v>45873</v>
      </c>
    </row>
    <row r="4" spans="1:6" ht="19">
      <c r="A4" s="39" t="s">
        <v>4</v>
      </c>
      <c r="B4" s="40"/>
      <c r="C4" s="41"/>
      <c r="D4" s="13" t="s">
        <v>5</v>
      </c>
      <c r="E4" s="44" t="s">
        <v>283</v>
      </c>
    </row>
    <row r="5" spans="1:6" ht="16" customHeight="1">
      <c r="A5" s="36" t="s">
        <v>6</v>
      </c>
      <c r="B5" s="36"/>
      <c r="C5" s="36"/>
      <c r="D5" s="9">
        <f xml:space="preserve"> COUNTIF($D$14:$D$119,"Conforme")</f>
        <v>12</v>
      </c>
      <c r="E5" s="44">
        <v>21</v>
      </c>
    </row>
    <row r="6" spans="1:6" ht="19">
      <c r="A6" s="36" t="s">
        <v>7</v>
      </c>
      <c r="B6" s="36"/>
      <c r="C6" s="36"/>
      <c r="D6" s="9">
        <f xml:space="preserve"> COUNTIF($D$14:$D$119,"Non conforme")</f>
        <v>9</v>
      </c>
      <c r="E6" s="44">
        <v>0</v>
      </c>
    </row>
    <row r="7" spans="1:6" ht="19">
      <c r="A7" s="36" t="s">
        <v>8</v>
      </c>
      <c r="B7" s="36"/>
      <c r="C7" s="36"/>
      <c r="D7" s="9">
        <f xml:space="preserve"> COUNTIF($D$14:$D$119,"Non applicable")</f>
        <v>85</v>
      </c>
      <c r="E7" s="9">
        <f xml:space="preserve"> COUNTIF($D$14:$D$119,"Non applicable")</f>
        <v>85</v>
      </c>
    </row>
    <row r="8" spans="1:6" ht="19">
      <c r="A8" s="36" t="s">
        <v>9</v>
      </c>
      <c r="B8" s="36"/>
      <c r="C8" s="36"/>
      <c r="D8" s="9">
        <f xml:space="preserve"> COUNTIF($D$14:$D$119,"Dérogé")</f>
        <v>0</v>
      </c>
      <c r="E8" s="44">
        <v>0</v>
      </c>
    </row>
    <row r="9" spans="1:6" ht="19">
      <c r="A9" s="36" t="s">
        <v>10</v>
      </c>
      <c r="B9" s="36"/>
      <c r="C9" s="36"/>
      <c r="D9" s="9">
        <f xml:space="preserve"> COUNTIF($D$14:$D$119,"Non testé")</f>
        <v>0</v>
      </c>
      <c r="E9" s="44">
        <v>0</v>
      </c>
    </row>
    <row r="10" spans="1:6" ht="19" customHeight="1">
      <c r="A10" s="25" t="s">
        <v>11</v>
      </c>
      <c r="B10" s="26"/>
      <c r="C10" s="27"/>
      <c r="D10" s="14">
        <f>IF(SUM(D5:D6)&gt;0,D5/SUM(D5:D6),"")</f>
        <v>0.5714285714285714</v>
      </c>
      <c r="E10" s="45">
        <v>1</v>
      </c>
    </row>
    <row r="11" spans="1:6" ht="19" customHeight="1">
      <c r="A11" s="25" t="s">
        <v>12</v>
      </c>
      <c r="B11" s="26"/>
      <c r="C11" s="27"/>
      <c r="D11" s="14">
        <f>IF(SUM(D5:D6)&gt;0,1-ROUND(D10,2),"")</f>
        <v>0.43000000000000005</v>
      </c>
      <c r="E11" s="45">
        <v>0</v>
      </c>
    </row>
    <row r="12" spans="1:6">
      <c r="A12" s="7"/>
      <c r="B12" s="7"/>
      <c r="C12" s="7"/>
    </row>
    <row r="13" spans="1:6" ht="19">
      <c r="A13" s="4" t="s">
        <v>13</v>
      </c>
      <c r="B13" s="4" t="s">
        <v>14</v>
      </c>
      <c r="C13" s="4" t="s">
        <v>15</v>
      </c>
      <c r="D13" s="4" t="s">
        <v>16</v>
      </c>
      <c r="E13" s="6" t="s">
        <v>17</v>
      </c>
      <c r="F13" s="16" t="s">
        <v>18</v>
      </c>
    </row>
    <row r="14" spans="1:6" ht="34">
      <c r="A14" s="37" t="s">
        <v>19</v>
      </c>
      <c r="B14" s="2" t="s">
        <v>20</v>
      </c>
      <c r="C14" s="3" t="s">
        <v>21</v>
      </c>
      <c r="D14" s="5" t="s">
        <v>22</v>
      </c>
      <c r="E14" s="11"/>
      <c r="F14" s="17"/>
    </row>
    <row r="15" spans="1:6" ht="68">
      <c r="A15" s="23"/>
      <c r="B15" s="2" t="s">
        <v>23</v>
      </c>
      <c r="C15" s="3" t="s">
        <v>24</v>
      </c>
      <c r="D15" s="5" t="s">
        <v>25</v>
      </c>
      <c r="E15" s="12" t="s">
        <v>26</v>
      </c>
      <c r="F15" s="20" t="s">
        <v>27</v>
      </c>
    </row>
    <row r="16" spans="1:6" ht="34">
      <c r="A16" s="23"/>
      <c r="B16" s="2" t="s">
        <v>28</v>
      </c>
      <c r="C16" s="3" t="s">
        <v>29</v>
      </c>
      <c r="D16" s="5" t="s">
        <v>22</v>
      </c>
      <c r="E16" s="11"/>
      <c r="F16" s="17"/>
    </row>
    <row r="17" spans="1:6" ht="51">
      <c r="A17" s="23"/>
      <c r="B17" s="2" t="s">
        <v>30</v>
      </c>
      <c r="C17" s="3" t="s">
        <v>31</v>
      </c>
      <c r="D17" s="5" t="s">
        <v>22</v>
      </c>
      <c r="E17" s="11"/>
      <c r="F17" s="17"/>
    </row>
    <row r="18" spans="1:6" ht="34">
      <c r="A18" s="23"/>
      <c r="B18" s="2" t="s">
        <v>32</v>
      </c>
      <c r="C18" s="3" t="s">
        <v>33</v>
      </c>
      <c r="D18" s="5" t="s">
        <v>22</v>
      </c>
      <c r="E18" s="11"/>
      <c r="F18" s="17"/>
    </row>
    <row r="19" spans="1:6" ht="34">
      <c r="A19" s="23"/>
      <c r="B19" s="2" t="s">
        <v>34</v>
      </c>
      <c r="C19" s="3" t="s">
        <v>35</v>
      </c>
      <c r="D19" s="5" t="s">
        <v>22</v>
      </c>
      <c r="E19" s="11"/>
      <c r="F19" s="17"/>
    </row>
    <row r="20" spans="1:6" ht="34">
      <c r="A20" s="23"/>
      <c r="B20" s="2" t="s">
        <v>36</v>
      </c>
      <c r="C20" s="3" t="s">
        <v>37</v>
      </c>
      <c r="D20" s="5" t="s">
        <v>22</v>
      </c>
      <c r="E20" s="11"/>
      <c r="F20" s="17"/>
    </row>
    <row r="21" spans="1:6" ht="51">
      <c r="A21" s="23"/>
      <c r="B21" s="2" t="s">
        <v>38</v>
      </c>
      <c r="C21" s="3" t="s">
        <v>39</v>
      </c>
      <c r="D21" s="5" t="s">
        <v>22</v>
      </c>
      <c r="E21" s="11"/>
      <c r="F21" s="17"/>
    </row>
    <row r="22" spans="1:6" ht="34">
      <c r="A22" s="24"/>
      <c r="B22" s="2" t="s">
        <v>40</v>
      </c>
      <c r="C22" s="3" t="s">
        <v>41</v>
      </c>
      <c r="D22" s="5" t="s">
        <v>22</v>
      </c>
      <c r="E22" s="11"/>
      <c r="F22" s="17"/>
    </row>
    <row r="23" spans="1:6" ht="19">
      <c r="A23" s="22" t="s">
        <v>42</v>
      </c>
      <c r="B23" s="2" t="s">
        <v>43</v>
      </c>
      <c r="C23" s="3" t="s">
        <v>44</v>
      </c>
      <c r="D23" s="5" t="s">
        <v>22</v>
      </c>
      <c r="E23" s="11"/>
      <c r="F23" s="17"/>
    </row>
    <row r="24" spans="1:6" ht="34">
      <c r="A24" s="24"/>
      <c r="B24" s="2" t="s">
        <v>45</v>
      </c>
      <c r="C24" s="3" t="s">
        <v>46</v>
      </c>
      <c r="D24" s="5" t="s">
        <v>22</v>
      </c>
      <c r="E24" s="11"/>
      <c r="F24" s="17"/>
    </row>
    <row r="25" spans="1:6" ht="34">
      <c r="A25" s="22" t="s">
        <v>47</v>
      </c>
      <c r="B25" s="2" t="s">
        <v>48</v>
      </c>
      <c r="C25" s="3" t="s">
        <v>49</v>
      </c>
      <c r="D25" s="5" t="s">
        <v>22</v>
      </c>
      <c r="E25" s="11"/>
      <c r="F25" s="17"/>
    </row>
    <row r="26" spans="1:6" ht="187">
      <c r="A26" s="23"/>
      <c r="B26" s="2" t="s">
        <v>50</v>
      </c>
      <c r="C26" s="3" t="s">
        <v>51</v>
      </c>
      <c r="D26" s="5" t="s">
        <v>52</v>
      </c>
      <c r="E26" s="11" t="s">
        <v>53</v>
      </c>
      <c r="F26" s="17"/>
    </row>
    <row r="27" spans="1:6" ht="221">
      <c r="A27" s="24"/>
      <c r="B27" s="2" t="s">
        <v>54</v>
      </c>
      <c r="C27" s="3" t="s">
        <v>55</v>
      </c>
      <c r="D27" s="5" t="s">
        <v>25</v>
      </c>
      <c r="E27" s="11" t="s">
        <v>56</v>
      </c>
      <c r="F27" s="20" t="s">
        <v>57</v>
      </c>
    </row>
    <row r="28" spans="1:6" ht="34">
      <c r="A28" s="22" t="s">
        <v>58</v>
      </c>
      <c r="B28" s="2" t="s">
        <v>59</v>
      </c>
      <c r="C28" s="3" t="s">
        <v>60</v>
      </c>
      <c r="D28" s="5" t="s">
        <v>22</v>
      </c>
      <c r="E28" s="11"/>
      <c r="F28" s="17"/>
    </row>
    <row r="29" spans="1:6" ht="51">
      <c r="A29" s="23"/>
      <c r="B29" s="2" t="s">
        <v>61</v>
      </c>
      <c r="C29" s="3" t="s">
        <v>62</v>
      </c>
      <c r="D29" s="5" t="s">
        <v>22</v>
      </c>
      <c r="E29" s="11"/>
      <c r="F29" s="17"/>
    </row>
    <row r="30" spans="1:6" ht="34">
      <c r="A30" s="23"/>
      <c r="B30" s="2" t="s">
        <v>63</v>
      </c>
      <c r="C30" s="3" t="s">
        <v>64</v>
      </c>
      <c r="D30" s="5" t="s">
        <v>22</v>
      </c>
      <c r="E30" s="11"/>
      <c r="F30" s="17"/>
    </row>
    <row r="31" spans="1:6" ht="34">
      <c r="A31" s="23"/>
      <c r="B31" s="2" t="s">
        <v>65</v>
      </c>
      <c r="C31" s="3" t="s">
        <v>66</v>
      </c>
      <c r="D31" s="5" t="s">
        <v>22</v>
      </c>
      <c r="E31" s="11"/>
      <c r="F31" s="17"/>
    </row>
    <row r="32" spans="1:6" ht="34">
      <c r="A32" s="23"/>
      <c r="B32" s="2" t="s">
        <v>67</v>
      </c>
      <c r="C32" s="3" t="s">
        <v>68</v>
      </c>
      <c r="D32" s="5" t="s">
        <v>22</v>
      </c>
      <c r="E32" s="11"/>
      <c r="F32" s="17"/>
    </row>
    <row r="33" spans="1:6" ht="34">
      <c r="A33" s="23"/>
      <c r="B33" s="2" t="s">
        <v>69</v>
      </c>
      <c r="C33" s="3" t="s">
        <v>70</v>
      </c>
      <c r="D33" s="5" t="s">
        <v>22</v>
      </c>
      <c r="E33" s="11"/>
      <c r="F33" s="17"/>
    </row>
    <row r="34" spans="1:6" ht="34">
      <c r="A34" s="23"/>
      <c r="B34" s="2" t="s">
        <v>71</v>
      </c>
      <c r="C34" s="3" t="s">
        <v>72</v>
      </c>
      <c r="D34" s="5" t="s">
        <v>22</v>
      </c>
      <c r="E34" s="11"/>
      <c r="F34" s="17"/>
    </row>
    <row r="35" spans="1:6" ht="34">
      <c r="A35" s="23"/>
      <c r="B35" s="2" t="s">
        <v>73</v>
      </c>
      <c r="C35" s="3" t="s">
        <v>74</v>
      </c>
      <c r="D35" s="5" t="s">
        <v>22</v>
      </c>
      <c r="E35" s="11"/>
      <c r="F35" s="17"/>
    </row>
    <row r="36" spans="1:6" ht="34">
      <c r="A36" s="23"/>
      <c r="B36" s="2" t="s">
        <v>75</v>
      </c>
      <c r="C36" s="3" t="s">
        <v>76</v>
      </c>
      <c r="D36" s="5" t="s">
        <v>22</v>
      </c>
      <c r="E36" s="11"/>
      <c r="F36" s="17"/>
    </row>
    <row r="37" spans="1:6" ht="34">
      <c r="A37" s="23"/>
      <c r="B37" s="2" t="s">
        <v>77</v>
      </c>
      <c r="C37" s="3" t="s">
        <v>78</v>
      </c>
      <c r="D37" s="5" t="s">
        <v>22</v>
      </c>
      <c r="E37" s="11"/>
      <c r="F37" s="17"/>
    </row>
    <row r="38" spans="1:6" ht="34">
      <c r="A38" s="23"/>
      <c r="B38" s="2" t="s">
        <v>79</v>
      </c>
      <c r="C38" s="3" t="s">
        <v>80</v>
      </c>
      <c r="D38" s="5" t="s">
        <v>22</v>
      </c>
      <c r="E38" s="11"/>
      <c r="F38" s="17"/>
    </row>
    <row r="39" spans="1:6" ht="34">
      <c r="A39" s="23"/>
      <c r="B39" s="2" t="s">
        <v>81</v>
      </c>
      <c r="C39" s="3" t="s">
        <v>82</v>
      </c>
      <c r="D39" s="5" t="s">
        <v>22</v>
      </c>
      <c r="E39" s="11"/>
      <c r="F39" s="17"/>
    </row>
    <row r="40" spans="1:6" ht="34">
      <c r="A40" s="24"/>
      <c r="B40" s="2" t="s">
        <v>83</v>
      </c>
      <c r="C40" s="3" t="s">
        <v>84</v>
      </c>
      <c r="D40" s="5" t="s">
        <v>22</v>
      </c>
      <c r="E40" s="11"/>
      <c r="F40" s="17"/>
    </row>
    <row r="41" spans="1:6" ht="19">
      <c r="A41" s="22" t="s">
        <v>85</v>
      </c>
      <c r="B41" s="2" t="s">
        <v>86</v>
      </c>
      <c r="C41" s="3" t="s">
        <v>87</v>
      </c>
      <c r="D41" s="5" t="s">
        <v>22</v>
      </c>
      <c r="E41" s="11"/>
      <c r="F41" s="17"/>
    </row>
    <row r="42" spans="1:6" ht="34">
      <c r="A42" s="23"/>
      <c r="B42" s="2" t="s">
        <v>88</v>
      </c>
      <c r="C42" s="3" t="s">
        <v>89</v>
      </c>
      <c r="D42" s="5" t="s">
        <v>22</v>
      </c>
      <c r="E42" s="11"/>
      <c r="F42" s="17"/>
    </row>
    <row r="43" spans="1:6" ht="34">
      <c r="A43" s="23"/>
      <c r="B43" s="2" t="s">
        <v>90</v>
      </c>
      <c r="C43" s="3" t="s">
        <v>91</v>
      </c>
      <c r="D43" s="5" t="s">
        <v>22</v>
      </c>
      <c r="E43" s="11"/>
      <c r="F43" s="17"/>
    </row>
    <row r="44" spans="1:6" ht="34">
      <c r="A44" s="23"/>
      <c r="B44" s="2" t="s">
        <v>92</v>
      </c>
      <c r="C44" s="3" t="s">
        <v>93</v>
      </c>
      <c r="D44" s="5" t="s">
        <v>22</v>
      </c>
      <c r="E44" s="11"/>
      <c r="F44" s="17"/>
    </row>
    <row r="45" spans="1:6" ht="34">
      <c r="A45" s="23"/>
      <c r="B45" s="2" t="s">
        <v>94</v>
      </c>
      <c r="C45" s="3" t="s">
        <v>95</v>
      </c>
      <c r="D45" s="5" t="s">
        <v>22</v>
      </c>
      <c r="E45" s="11"/>
      <c r="F45" s="17"/>
    </row>
    <row r="46" spans="1:6" ht="34">
      <c r="A46" s="23"/>
      <c r="B46" s="2" t="s">
        <v>96</v>
      </c>
      <c r="C46" s="3" t="s">
        <v>97</v>
      </c>
      <c r="D46" s="5" t="s">
        <v>22</v>
      </c>
      <c r="E46" s="11"/>
      <c r="F46" s="17"/>
    </row>
    <row r="47" spans="1:6" ht="51">
      <c r="A47" s="23"/>
      <c r="B47" s="2" t="s">
        <v>98</v>
      </c>
      <c r="C47" s="3" t="s">
        <v>99</v>
      </c>
      <c r="D47" s="5" t="s">
        <v>22</v>
      </c>
      <c r="E47" s="11"/>
      <c r="F47" s="17"/>
    </row>
    <row r="48" spans="1:6" ht="34">
      <c r="A48" s="24"/>
      <c r="B48" s="2" t="s">
        <v>100</v>
      </c>
      <c r="C48" s="3" t="s">
        <v>101</v>
      </c>
      <c r="D48" s="5" t="s">
        <v>22</v>
      </c>
      <c r="E48" s="11"/>
      <c r="F48" s="17"/>
    </row>
    <row r="49" spans="1:6" ht="19">
      <c r="A49" s="22" t="s">
        <v>102</v>
      </c>
      <c r="B49" s="2" t="s">
        <v>103</v>
      </c>
      <c r="C49" s="3" t="s">
        <v>104</v>
      </c>
      <c r="D49" s="5" t="s">
        <v>22</v>
      </c>
      <c r="E49" s="11"/>
      <c r="F49" s="17"/>
    </row>
    <row r="50" spans="1:6" ht="19">
      <c r="A50" s="24"/>
      <c r="B50" s="2" t="s">
        <v>105</v>
      </c>
      <c r="C50" s="3" t="s">
        <v>106</v>
      </c>
      <c r="D50" s="5" t="s">
        <v>22</v>
      </c>
      <c r="E50" s="11"/>
      <c r="F50" s="17"/>
    </row>
    <row r="51" spans="1:6" ht="153">
      <c r="A51" s="22" t="s">
        <v>107</v>
      </c>
      <c r="B51" s="2" t="s">
        <v>108</v>
      </c>
      <c r="C51" s="3" t="s">
        <v>109</v>
      </c>
      <c r="D51" s="5" t="s">
        <v>25</v>
      </c>
      <c r="E51" s="11" t="s">
        <v>110</v>
      </c>
      <c r="F51" s="20" t="s">
        <v>111</v>
      </c>
    </row>
    <row r="52" spans="1:6" ht="34">
      <c r="A52" s="23"/>
      <c r="B52" s="2" t="s">
        <v>112</v>
      </c>
      <c r="C52" s="3" t="s">
        <v>113</v>
      </c>
      <c r="D52" s="5" t="s">
        <v>22</v>
      </c>
      <c r="E52" s="11"/>
      <c r="F52" s="17"/>
    </row>
    <row r="53" spans="1:6" ht="136">
      <c r="A53" s="23"/>
      <c r="B53" s="2" t="s">
        <v>114</v>
      </c>
      <c r="C53" s="3" t="s">
        <v>115</v>
      </c>
      <c r="D53" s="5" t="s">
        <v>25</v>
      </c>
      <c r="E53" s="11" t="s">
        <v>110</v>
      </c>
      <c r="F53" s="21" t="s">
        <v>116</v>
      </c>
    </row>
    <row r="54" spans="1:6" ht="34">
      <c r="A54" s="23"/>
      <c r="B54" s="2" t="s">
        <v>117</v>
      </c>
      <c r="C54" s="3" t="s">
        <v>118</v>
      </c>
      <c r="D54" s="5" t="s">
        <v>22</v>
      </c>
      <c r="E54" s="11"/>
      <c r="F54" s="17"/>
    </row>
    <row r="55" spans="1:6" ht="34">
      <c r="A55" s="24"/>
      <c r="B55" s="2" t="s">
        <v>119</v>
      </c>
      <c r="C55" s="3" t="s">
        <v>120</v>
      </c>
      <c r="D55" s="5" t="s">
        <v>22</v>
      </c>
      <c r="E55" s="11"/>
      <c r="F55" s="17"/>
    </row>
    <row r="56" spans="1:6" ht="19">
      <c r="A56" s="22" t="s">
        <v>121</v>
      </c>
      <c r="B56" s="2" t="s">
        <v>122</v>
      </c>
      <c r="C56" s="3" t="s">
        <v>123</v>
      </c>
      <c r="D56" s="5" t="s">
        <v>22</v>
      </c>
      <c r="E56" s="11"/>
      <c r="F56" s="17"/>
    </row>
    <row r="57" spans="1:6" ht="51">
      <c r="A57" s="23"/>
      <c r="B57" s="2" t="s">
        <v>124</v>
      </c>
      <c r="C57" s="3" t="s">
        <v>125</v>
      </c>
      <c r="D57" s="5" t="s">
        <v>25</v>
      </c>
      <c r="E57" s="11" t="s">
        <v>126</v>
      </c>
      <c r="F57" s="20" t="s">
        <v>127</v>
      </c>
    </row>
    <row r="58" spans="1:6" ht="19">
      <c r="A58" s="23"/>
      <c r="B58" s="2" t="s">
        <v>128</v>
      </c>
      <c r="C58" s="3" t="s">
        <v>129</v>
      </c>
      <c r="D58" s="5" t="s">
        <v>22</v>
      </c>
      <c r="E58" s="11"/>
      <c r="F58" s="17"/>
    </row>
    <row r="59" spans="1:6" ht="34">
      <c r="A59" s="23"/>
      <c r="B59" s="2" t="s">
        <v>130</v>
      </c>
      <c r="C59" s="3" t="s">
        <v>131</v>
      </c>
      <c r="D59" s="5" t="s">
        <v>22</v>
      </c>
      <c r="E59" s="11"/>
      <c r="F59" s="17"/>
    </row>
    <row r="60" spans="1:6" ht="19">
      <c r="A60" s="23"/>
      <c r="B60" s="2" t="s">
        <v>132</v>
      </c>
      <c r="C60" s="3" t="s">
        <v>133</v>
      </c>
      <c r="D60" s="5" t="s">
        <v>22</v>
      </c>
      <c r="E60" s="11"/>
      <c r="F60" s="17"/>
    </row>
    <row r="61" spans="1:6" ht="19">
      <c r="A61" s="23"/>
      <c r="B61" s="2" t="s">
        <v>134</v>
      </c>
      <c r="C61" s="3" t="s">
        <v>135</v>
      </c>
      <c r="D61" s="5" t="s">
        <v>22</v>
      </c>
      <c r="E61" s="11"/>
      <c r="F61" s="17"/>
    </row>
    <row r="62" spans="1:6" ht="34">
      <c r="A62" s="23"/>
      <c r="B62" s="2" t="s">
        <v>136</v>
      </c>
      <c r="C62" s="3" t="s">
        <v>137</v>
      </c>
      <c r="D62" s="5" t="s">
        <v>22</v>
      </c>
      <c r="E62" s="11"/>
      <c r="F62" s="17"/>
    </row>
    <row r="63" spans="1:6" ht="34">
      <c r="A63" s="23"/>
      <c r="B63" s="2" t="s">
        <v>138</v>
      </c>
      <c r="C63" s="3" t="s">
        <v>139</v>
      </c>
      <c r="D63" s="5" t="s">
        <v>22</v>
      </c>
      <c r="E63" s="11"/>
      <c r="F63" s="17"/>
    </row>
    <row r="64" spans="1:6" ht="34">
      <c r="A64" s="23"/>
      <c r="B64" s="2" t="s">
        <v>140</v>
      </c>
      <c r="C64" s="3" t="s">
        <v>141</v>
      </c>
      <c r="D64" s="5" t="s">
        <v>22</v>
      </c>
      <c r="E64" s="11"/>
      <c r="F64" s="17"/>
    </row>
    <row r="65" spans="1:6" ht="34">
      <c r="A65" s="24"/>
      <c r="B65" s="2" t="s">
        <v>142</v>
      </c>
      <c r="C65" s="3" t="s">
        <v>143</v>
      </c>
      <c r="D65" s="5" t="s">
        <v>22</v>
      </c>
      <c r="E65" s="11"/>
      <c r="F65" s="17"/>
    </row>
    <row r="66" spans="1:6" ht="34">
      <c r="A66" s="22" t="s">
        <v>144</v>
      </c>
      <c r="B66" s="2" t="s">
        <v>145</v>
      </c>
      <c r="C66" s="3" t="s">
        <v>146</v>
      </c>
      <c r="D66" s="5" t="s">
        <v>25</v>
      </c>
      <c r="E66" s="11" t="s">
        <v>147</v>
      </c>
      <c r="F66" s="20" t="s">
        <v>148</v>
      </c>
    </row>
    <row r="67" spans="1:6" ht="34">
      <c r="A67" s="23"/>
      <c r="B67" s="2" t="s">
        <v>149</v>
      </c>
      <c r="C67" s="3" t="s">
        <v>150</v>
      </c>
      <c r="D67" s="5" t="s">
        <v>22</v>
      </c>
      <c r="E67" s="11"/>
      <c r="F67" s="17"/>
    </row>
    <row r="68" spans="1:6" ht="19">
      <c r="A68" s="23"/>
      <c r="B68" s="2" t="s">
        <v>151</v>
      </c>
      <c r="C68" s="3" t="s">
        <v>152</v>
      </c>
      <c r="D68" s="5" t="s">
        <v>22</v>
      </c>
      <c r="E68" s="11"/>
      <c r="F68" s="17"/>
    </row>
    <row r="69" spans="1:6" ht="34">
      <c r="A69" s="24"/>
      <c r="B69" s="2" t="s">
        <v>153</v>
      </c>
      <c r="C69" s="3" t="s">
        <v>154</v>
      </c>
      <c r="D69" s="5" t="s">
        <v>22</v>
      </c>
      <c r="E69" s="11"/>
      <c r="F69" s="17"/>
    </row>
    <row r="70" spans="1:6" ht="68">
      <c r="A70" s="22" t="s">
        <v>155</v>
      </c>
      <c r="B70" s="2" t="s">
        <v>156</v>
      </c>
      <c r="C70" s="3" t="s">
        <v>157</v>
      </c>
      <c r="D70" s="5" t="s">
        <v>52</v>
      </c>
      <c r="E70" s="11" t="s">
        <v>158</v>
      </c>
      <c r="F70" s="17"/>
    </row>
    <row r="71" spans="1:6" ht="34">
      <c r="A71" s="23"/>
      <c r="B71" s="2" t="s">
        <v>159</v>
      </c>
      <c r="C71" s="3" t="s">
        <v>160</v>
      </c>
      <c r="D71" s="5" t="s">
        <v>52</v>
      </c>
      <c r="E71" s="11" t="s">
        <v>161</v>
      </c>
      <c r="F71" s="17"/>
    </row>
    <row r="72" spans="1:6" ht="34">
      <c r="A72" s="23"/>
      <c r="B72" s="2" t="s">
        <v>162</v>
      </c>
      <c r="C72" s="3" t="s">
        <v>163</v>
      </c>
      <c r="D72" s="5" t="s">
        <v>52</v>
      </c>
      <c r="E72" s="11" t="s">
        <v>164</v>
      </c>
      <c r="F72" s="17"/>
    </row>
    <row r="73" spans="1:6" ht="51">
      <c r="A73" s="23"/>
      <c r="B73" s="2" t="s">
        <v>165</v>
      </c>
      <c r="C73" s="3" t="s">
        <v>166</v>
      </c>
      <c r="D73" s="5" t="s">
        <v>52</v>
      </c>
      <c r="E73" s="11" t="s">
        <v>167</v>
      </c>
      <c r="F73" s="17"/>
    </row>
    <row r="74" spans="1:6" ht="34">
      <c r="A74" s="23"/>
      <c r="B74" s="2" t="s">
        <v>168</v>
      </c>
      <c r="C74" s="3" t="s">
        <v>169</v>
      </c>
      <c r="D74" s="5" t="s">
        <v>52</v>
      </c>
      <c r="E74" s="19" t="s">
        <v>170</v>
      </c>
      <c r="F74" s="17"/>
    </row>
    <row r="75" spans="1:6" ht="34">
      <c r="A75" s="23"/>
      <c r="B75" s="2" t="s">
        <v>171</v>
      </c>
      <c r="C75" s="3" t="s">
        <v>172</v>
      </c>
      <c r="D75" s="5" t="s">
        <v>22</v>
      </c>
      <c r="E75" s="11"/>
      <c r="F75" s="17"/>
    </row>
    <row r="76" spans="1:6" ht="34">
      <c r="A76" s="23"/>
      <c r="B76" s="2" t="s">
        <v>173</v>
      </c>
      <c r="C76" s="3" t="s">
        <v>174</v>
      </c>
      <c r="D76" s="5" t="s">
        <v>25</v>
      </c>
      <c r="E76" s="11" t="s">
        <v>175</v>
      </c>
      <c r="F76" s="21" t="s">
        <v>176</v>
      </c>
    </row>
    <row r="77" spans="1:6" ht="34">
      <c r="A77" s="23"/>
      <c r="B77" s="2" t="s">
        <v>177</v>
      </c>
      <c r="C77" s="3" t="s">
        <v>178</v>
      </c>
      <c r="D77" s="5" t="s">
        <v>22</v>
      </c>
      <c r="E77" s="11"/>
      <c r="F77" s="17"/>
    </row>
    <row r="78" spans="1:6" ht="51">
      <c r="A78" s="23"/>
      <c r="B78" s="2" t="s">
        <v>179</v>
      </c>
      <c r="C78" s="3" t="s">
        <v>180</v>
      </c>
      <c r="D78" s="5" t="s">
        <v>52</v>
      </c>
      <c r="E78" s="11" t="s">
        <v>181</v>
      </c>
      <c r="F78" s="17"/>
    </row>
    <row r="79" spans="1:6" ht="51">
      <c r="A79" s="23"/>
      <c r="B79" s="2" t="s">
        <v>182</v>
      </c>
      <c r="C79" s="3" t="s">
        <v>183</v>
      </c>
      <c r="D79" s="5" t="s">
        <v>52</v>
      </c>
      <c r="E79" s="11" t="s">
        <v>184</v>
      </c>
      <c r="F79" s="17"/>
    </row>
    <row r="80" spans="1:6" ht="85">
      <c r="A80" s="23"/>
      <c r="B80" s="2" t="s">
        <v>185</v>
      </c>
      <c r="C80" s="3" t="s">
        <v>186</v>
      </c>
      <c r="D80" s="5" t="s">
        <v>52</v>
      </c>
      <c r="E80" s="11" t="s">
        <v>187</v>
      </c>
      <c r="F80" s="17"/>
    </row>
    <row r="81" spans="1:6" ht="170">
      <c r="A81" s="23"/>
      <c r="B81" s="2" t="s">
        <v>188</v>
      </c>
      <c r="C81" s="3" t="s">
        <v>189</v>
      </c>
      <c r="D81" s="5" t="s">
        <v>25</v>
      </c>
      <c r="E81" s="11" t="s">
        <v>190</v>
      </c>
      <c r="F81" s="20" t="s">
        <v>191</v>
      </c>
    </row>
    <row r="82" spans="1:6" ht="68">
      <c r="A82" s="23"/>
      <c r="B82" s="2" t="s">
        <v>192</v>
      </c>
      <c r="C82" s="3" t="s">
        <v>193</v>
      </c>
      <c r="D82" s="5" t="s">
        <v>52</v>
      </c>
      <c r="E82" s="11" t="s">
        <v>194</v>
      </c>
      <c r="F82" s="17"/>
    </row>
    <row r="83" spans="1:6" ht="51">
      <c r="A83" s="24"/>
      <c r="B83" s="2" t="s">
        <v>195</v>
      </c>
      <c r="C83" s="3" t="s">
        <v>196</v>
      </c>
      <c r="D83" s="5" t="s">
        <v>22</v>
      </c>
      <c r="E83" s="11"/>
      <c r="F83" s="17"/>
    </row>
    <row r="84" spans="1:6" ht="19">
      <c r="A84" s="22" t="s">
        <v>197</v>
      </c>
      <c r="B84" s="2" t="s">
        <v>198</v>
      </c>
      <c r="C84" s="3" t="s">
        <v>199</v>
      </c>
      <c r="D84" s="5" t="s">
        <v>22</v>
      </c>
      <c r="E84" s="11"/>
      <c r="F84" s="17"/>
    </row>
    <row r="85" spans="1:6" ht="34">
      <c r="A85" s="23"/>
      <c r="B85" s="2" t="s">
        <v>200</v>
      </c>
      <c r="C85" s="3" t="s">
        <v>201</v>
      </c>
      <c r="D85" s="5" t="s">
        <v>22</v>
      </c>
      <c r="E85" s="11"/>
      <c r="F85" s="17"/>
    </row>
    <row r="86" spans="1:6" ht="51">
      <c r="A86" s="23"/>
      <c r="B86" s="2" t="s">
        <v>202</v>
      </c>
      <c r="C86" s="3" t="s">
        <v>203</v>
      </c>
      <c r="D86" s="5" t="s">
        <v>22</v>
      </c>
      <c r="E86" s="11"/>
      <c r="F86" s="17"/>
    </row>
    <row r="87" spans="1:6" ht="34">
      <c r="A87" s="23"/>
      <c r="B87" s="2" t="s">
        <v>204</v>
      </c>
      <c r="C87" s="3" t="s">
        <v>205</v>
      </c>
      <c r="D87" s="5" t="s">
        <v>22</v>
      </c>
      <c r="E87" s="11"/>
      <c r="F87" s="17"/>
    </row>
    <row r="88" spans="1:6" ht="34">
      <c r="A88" s="23"/>
      <c r="B88" s="2" t="s">
        <v>206</v>
      </c>
      <c r="C88" s="3" t="s">
        <v>207</v>
      </c>
      <c r="D88" s="5" t="s">
        <v>22</v>
      </c>
      <c r="E88" s="11"/>
      <c r="F88" s="17"/>
    </row>
    <row r="89" spans="1:6" ht="34">
      <c r="A89" s="23"/>
      <c r="B89" s="2" t="s">
        <v>208</v>
      </c>
      <c r="C89" s="3" t="s">
        <v>209</v>
      </c>
      <c r="D89" s="5" t="s">
        <v>22</v>
      </c>
      <c r="E89" s="11"/>
      <c r="F89" s="17"/>
    </row>
    <row r="90" spans="1:6" ht="34">
      <c r="A90" s="23"/>
      <c r="B90" s="2" t="s">
        <v>210</v>
      </c>
      <c r="C90" s="3" t="s">
        <v>211</v>
      </c>
      <c r="D90" s="5" t="s">
        <v>22</v>
      </c>
      <c r="E90" s="11"/>
      <c r="F90" s="17"/>
    </row>
    <row r="91" spans="1:6" ht="34">
      <c r="A91" s="23"/>
      <c r="B91" s="2" t="s">
        <v>212</v>
      </c>
      <c r="C91" s="3" t="s">
        <v>213</v>
      </c>
      <c r="D91" s="5" t="s">
        <v>22</v>
      </c>
      <c r="E91" s="11"/>
      <c r="F91" s="17"/>
    </row>
    <row r="92" spans="1:6" ht="34">
      <c r="A92" s="23"/>
      <c r="B92" s="2" t="s">
        <v>214</v>
      </c>
      <c r="C92" s="3" t="s">
        <v>215</v>
      </c>
      <c r="D92" s="5" t="s">
        <v>22</v>
      </c>
      <c r="E92" s="11"/>
      <c r="F92" s="17"/>
    </row>
    <row r="93" spans="1:6" ht="34">
      <c r="A93" s="23"/>
      <c r="B93" s="2" t="s">
        <v>216</v>
      </c>
      <c r="C93" s="3" t="s">
        <v>217</v>
      </c>
      <c r="D93" s="5" t="s">
        <v>22</v>
      </c>
      <c r="E93" s="11"/>
      <c r="F93" s="17"/>
    </row>
    <row r="94" spans="1:6" ht="51">
      <c r="A94" s="23"/>
      <c r="B94" s="2" t="s">
        <v>218</v>
      </c>
      <c r="C94" s="3" t="s">
        <v>219</v>
      </c>
      <c r="D94" s="5" t="s">
        <v>22</v>
      </c>
      <c r="E94" s="11"/>
      <c r="F94" s="17"/>
    </row>
    <row r="95" spans="1:6" ht="85">
      <c r="A95" s="23"/>
      <c r="B95" s="2" t="s">
        <v>220</v>
      </c>
      <c r="C95" s="3" t="s">
        <v>221</v>
      </c>
      <c r="D95" s="5" t="s">
        <v>22</v>
      </c>
      <c r="E95" s="11"/>
      <c r="F95" s="17"/>
    </row>
    <row r="96" spans="1:6" ht="51">
      <c r="A96" s="24"/>
      <c r="B96" s="2" t="s">
        <v>222</v>
      </c>
      <c r="C96" s="3" t="s">
        <v>223</v>
      </c>
      <c r="D96" s="5" t="s">
        <v>22</v>
      </c>
      <c r="E96" s="11"/>
      <c r="F96" s="17"/>
    </row>
    <row r="97" spans="1:6" ht="34">
      <c r="A97" s="22" t="s">
        <v>224</v>
      </c>
      <c r="B97" s="2" t="s">
        <v>225</v>
      </c>
      <c r="C97" s="3" t="s">
        <v>226</v>
      </c>
      <c r="D97" s="5" t="s">
        <v>22</v>
      </c>
      <c r="E97" s="11"/>
      <c r="F97" s="17"/>
    </row>
    <row r="98" spans="1:6" ht="34">
      <c r="A98" s="23"/>
      <c r="B98" s="2" t="s">
        <v>227</v>
      </c>
      <c r="C98" s="3" t="s">
        <v>228</v>
      </c>
      <c r="D98" s="5" t="s">
        <v>22</v>
      </c>
      <c r="E98" s="11"/>
      <c r="F98" s="17"/>
    </row>
    <row r="99" spans="1:6" ht="19">
      <c r="A99" s="23"/>
      <c r="B99" s="2" t="s">
        <v>229</v>
      </c>
      <c r="C99" s="3" t="s">
        <v>230</v>
      </c>
      <c r="D99" s="5" t="s">
        <v>22</v>
      </c>
      <c r="E99" s="11"/>
      <c r="F99" s="17"/>
    </row>
    <row r="100" spans="1:6" ht="34">
      <c r="A100" s="23"/>
      <c r="B100" s="2" t="s">
        <v>231</v>
      </c>
      <c r="C100" s="3" t="s">
        <v>232</v>
      </c>
      <c r="D100" s="5" t="s">
        <v>22</v>
      </c>
      <c r="E100" s="11"/>
      <c r="F100" s="17"/>
    </row>
    <row r="101" spans="1:6" ht="34">
      <c r="A101" s="23"/>
      <c r="B101" s="2" t="s">
        <v>233</v>
      </c>
      <c r="C101" s="3" t="s">
        <v>234</v>
      </c>
      <c r="D101" s="5" t="s">
        <v>22</v>
      </c>
      <c r="E101" s="11"/>
      <c r="F101" s="17"/>
    </row>
    <row r="102" spans="1:6" ht="68">
      <c r="A102" s="23"/>
      <c r="B102" s="2" t="s">
        <v>235</v>
      </c>
      <c r="C102" s="3" t="s">
        <v>236</v>
      </c>
      <c r="D102" s="5" t="s">
        <v>22</v>
      </c>
      <c r="E102" s="11"/>
      <c r="F102" s="17"/>
    </row>
    <row r="103" spans="1:6" ht="34">
      <c r="A103" s="23"/>
      <c r="B103" s="2" t="s">
        <v>237</v>
      </c>
      <c r="C103" s="3" t="s">
        <v>238</v>
      </c>
      <c r="D103" s="5" t="s">
        <v>22</v>
      </c>
      <c r="E103" s="11"/>
      <c r="F103" s="17"/>
    </row>
    <row r="104" spans="1:6" ht="68">
      <c r="A104" s="23"/>
      <c r="B104" s="2" t="s">
        <v>239</v>
      </c>
      <c r="C104" s="3" t="s">
        <v>240</v>
      </c>
      <c r="D104" s="5" t="s">
        <v>25</v>
      </c>
      <c r="E104" s="11" t="s">
        <v>241</v>
      </c>
      <c r="F104" s="20" t="s">
        <v>242</v>
      </c>
    </row>
    <row r="105" spans="1:6" ht="34">
      <c r="A105" s="23"/>
      <c r="B105" s="2" t="s">
        <v>243</v>
      </c>
      <c r="C105" s="3" t="s">
        <v>244</v>
      </c>
      <c r="D105" s="5" t="s">
        <v>52</v>
      </c>
      <c r="E105" s="11" t="s">
        <v>245</v>
      </c>
      <c r="F105" s="17"/>
    </row>
    <row r="106" spans="1:6" ht="51">
      <c r="A106" s="23"/>
      <c r="B106" s="2" t="s">
        <v>246</v>
      </c>
      <c r="C106" s="3" t="s">
        <v>247</v>
      </c>
      <c r="D106" s="5" t="s">
        <v>22</v>
      </c>
      <c r="E106" s="11"/>
      <c r="F106" s="17"/>
    </row>
    <row r="107" spans="1:6" ht="51">
      <c r="A107" s="24"/>
      <c r="B107" s="2" t="s">
        <v>248</v>
      </c>
      <c r="C107" s="3" t="s">
        <v>249</v>
      </c>
      <c r="D107" s="5" t="s">
        <v>52</v>
      </c>
      <c r="E107" s="11" t="s">
        <v>250</v>
      </c>
      <c r="F107" s="17"/>
    </row>
    <row r="108" spans="1:6" ht="34">
      <c r="A108" s="22" t="s">
        <v>251</v>
      </c>
      <c r="B108" s="2" t="s">
        <v>252</v>
      </c>
      <c r="C108" s="3" t="s">
        <v>253</v>
      </c>
      <c r="D108" s="5" t="s">
        <v>22</v>
      </c>
      <c r="E108" s="11"/>
      <c r="F108" s="17"/>
    </row>
    <row r="109" spans="1:6" ht="51">
      <c r="A109" s="23"/>
      <c r="B109" s="2" t="s">
        <v>254</v>
      </c>
      <c r="C109" s="3" t="s">
        <v>255</v>
      </c>
      <c r="D109" s="5" t="s">
        <v>22</v>
      </c>
      <c r="E109" s="11"/>
      <c r="F109" s="17"/>
    </row>
    <row r="110" spans="1:6" ht="51">
      <c r="A110" s="23"/>
      <c r="B110" s="2" t="s">
        <v>256</v>
      </c>
      <c r="C110" s="3" t="s">
        <v>257</v>
      </c>
      <c r="D110" s="5" t="s">
        <v>22</v>
      </c>
      <c r="E110" s="11"/>
      <c r="F110" s="17"/>
    </row>
    <row r="111" spans="1:6" ht="34">
      <c r="A111" s="23"/>
      <c r="B111" s="2" t="s">
        <v>258</v>
      </c>
      <c r="C111" s="3" t="s">
        <v>259</v>
      </c>
      <c r="D111" s="5" t="s">
        <v>22</v>
      </c>
      <c r="E111" s="11"/>
      <c r="F111" s="17"/>
    </row>
    <row r="112" spans="1:6" ht="34">
      <c r="A112" s="23"/>
      <c r="B112" s="2" t="s">
        <v>260</v>
      </c>
      <c r="C112" s="3" t="s">
        <v>261</v>
      </c>
      <c r="D112" s="5" t="s">
        <v>22</v>
      </c>
      <c r="E112" s="11"/>
      <c r="F112" s="17"/>
    </row>
    <row r="113" spans="1:6" ht="51">
      <c r="A113" s="23"/>
      <c r="B113" s="2" t="s">
        <v>262</v>
      </c>
      <c r="C113" s="3" t="s">
        <v>263</v>
      </c>
      <c r="D113" s="5" t="s">
        <v>22</v>
      </c>
      <c r="E113" s="11"/>
      <c r="F113" s="17"/>
    </row>
    <row r="114" spans="1:6" ht="34">
      <c r="A114" s="23"/>
      <c r="B114" s="2" t="s">
        <v>264</v>
      </c>
      <c r="C114" s="3" t="s">
        <v>265</v>
      </c>
      <c r="D114" s="5" t="s">
        <v>22</v>
      </c>
      <c r="E114" s="11"/>
      <c r="F114" s="17"/>
    </row>
    <row r="115" spans="1:6" ht="34">
      <c r="A115" s="23"/>
      <c r="B115" s="2" t="s">
        <v>266</v>
      </c>
      <c r="C115" s="3" t="s">
        <v>267</v>
      </c>
      <c r="D115" s="5" t="s">
        <v>22</v>
      </c>
      <c r="E115" s="11"/>
      <c r="F115" s="17"/>
    </row>
    <row r="116" spans="1:6" ht="51">
      <c r="A116" s="23"/>
      <c r="B116" s="2" t="s">
        <v>268</v>
      </c>
      <c r="C116" s="3" t="s">
        <v>269</v>
      </c>
      <c r="D116" s="5" t="s">
        <v>22</v>
      </c>
      <c r="E116" s="11"/>
      <c r="F116" s="17"/>
    </row>
    <row r="117" spans="1:6" ht="51">
      <c r="A117" s="23"/>
      <c r="B117" s="2" t="s">
        <v>270</v>
      </c>
      <c r="C117" s="3" t="s">
        <v>271</v>
      </c>
      <c r="D117" s="5" t="s">
        <v>22</v>
      </c>
      <c r="E117" s="11"/>
      <c r="F117" s="17"/>
    </row>
    <row r="118" spans="1:6" ht="51">
      <c r="A118" s="23"/>
      <c r="B118" s="2" t="s">
        <v>272</v>
      </c>
      <c r="C118" s="3" t="s">
        <v>273</v>
      </c>
      <c r="D118" s="5" t="s">
        <v>22</v>
      </c>
      <c r="E118" s="11"/>
      <c r="F118" s="17"/>
    </row>
    <row r="119" spans="1:6" ht="51">
      <c r="A119" s="24"/>
      <c r="B119" s="2" t="s">
        <v>274</v>
      </c>
      <c r="C119" s="3" t="s">
        <v>275</v>
      </c>
      <c r="D119" s="5" t="s">
        <v>22</v>
      </c>
      <c r="E119" s="11"/>
      <c r="F119" s="17"/>
    </row>
    <row r="123" spans="1:6">
      <c r="A123" s="34" t="s">
        <v>276</v>
      </c>
      <c r="B123" s="34"/>
      <c r="C123" s="34"/>
      <c r="D123" s="34"/>
      <c r="E123" s="10" t="s">
        <v>277</v>
      </c>
    </row>
    <row r="124" spans="1:6" ht="104" customHeight="1">
      <c r="A124" s="35" t="s">
        <v>278</v>
      </c>
      <c r="B124" s="35"/>
      <c r="C124" s="35"/>
      <c r="D124" s="35"/>
      <c r="E124" s="12" t="s">
        <v>279</v>
      </c>
    </row>
    <row r="125" spans="1:6" ht="295" customHeight="1">
      <c r="A125" s="31" t="s">
        <v>280</v>
      </c>
      <c r="B125" s="32"/>
      <c r="C125" s="32"/>
      <c r="D125" s="33"/>
      <c r="E125" s="12" t="s">
        <v>279</v>
      </c>
    </row>
    <row r="126" spans="1:6" ht="120" customHeight="1">
      <c r="A126" s="31" t="s">
        <v>281</v>
      </c>
      <c r="B126" s="32"/>
      <c r="C126" s="32"/>
      <c r="D126" s="33"/>
      <c r="E126" s="12" t="s">
        <v>279</v>
      </c>
    </row>
    <row r="127" spans="1:6">
      <c r="A127" s="28"/>
      <c r="B127" s="29"/>
      <c r="C127" s="29"/>
      <c r="D127" s="30"/>
      <c r="E127" s="15"/>
    </row>
  </sheetData>
  <mergeCells count="29">
    <mergeCell ref="A1:D1"/>
    <mergeCell ref="A5:C5"/>
    <mergeCell ref="A6:C6"/>
    <mergeCell ref="A8:C8"/>
    <mergeCell ref="A9:C9"/>
    <mergeCell ref="A3:C3"/>
    <mergeCell ref="A4:C4"/>
    <mergeCell ref="A2:C2"/>
    <mergeCell ref="A10:C10"/>
    <mergeCell ref="A7:C7"/>
    <mergeCell ref="A14:A22"/>
    <mergeCell ref="A23:A24"/>
    <mergeCell ref="A25:A27"/>
    <mergeCell ref="A28:A40"/>
    <mergeCell ref="A11:C11"/>
    <mergeCell ref="A127:D127"/>
    <mergeCell ref="A125:D125"/>
    <mergeCell ref="A126:D126"/>
    <mergeCell ref="A41:A48"/>
    <mergeCell ref="A123:D123"/>
    <mergeCell ref="A124:D124"/>
    <mergeCell ref="A97:A107"/>
    <mergeCell ref="A108:A119"/>
    <mergeCell ref="A49:A50"/>
    <mergeCell ref="A51:A55"/>
    <mergeCell ref="A56:A65"/>
    <mergeCell ref="A66:A69"/>
    <mergeCell ref="A70:A83"/>
    <mergeCell ref="A84:A96"/>
  </mergeCells>
  <conditionalFormatting sqref="D14:E69 D70:D74">
    <cfRule type="expression" dxfId="11" priority="9">
      <formula>$D14="Non testé"</formula>
    </cfRule>
    <cfRule type="expression" dxfId="10" priority="10">
      <formula>$D14="Dérogé"</formula>
    </cfRule>
    <cfRule type="expression" dxfId="9" priority="11">
      <formula>$D14="Conforme"</formula>
    </cfRule>
    <cfRule type="expression" dxfId="8" priority="12">
      <formula>$D14="Non conforme"</formula>
    </cfRule>
  </conditionalFormatting>
  <conditionalFormatting sqref="D75:E119">
    <cfRule type="expression" dxfId="7" priority="1">
      <formula>$D75="Non testé"</formula>
    </cfRule>
    <cfRule type="expression" dxfId="6" priority="2">
      <formula>$D75="Dérogé"</formula>
    </cfRule>
    <cfRule type="expression" dxfId="5" priority="3">
      <formula>$D75="Conforme"</formula>
    </cfRule>
    <cfRule type="expression" dxfId="4" priority="4">
      <formula>$D75="Non conforme"</formula>
    </cfRule>
  </conditionalFormatting>
  <conditionalFormatting sqref="E70:E73">
    <cfRule type="expression" dxfId="3" priority="5">
      <formula>$D70="Non testé"</formula>
    </cfRule>
    <cfRule type="expression" dxfId="2" priority="6">
      <formula>$D70="Dérogé"</formula>
    </cfRule>
    <cfRule type="expression" dxfId="1" priority="7">
      <formula>$D70="Conforme"</formula>
    </cfRule>
    <cfRule type="expression" dxfId="0" priority="8">
      <formula>$D70="Non conforme"</formula>
    </cfRule>
  </conditionalFormatting>
  <dataValidations count="2">
    <dataValidation type="list" allowBlank="1" showInputMessage="1" showErrorMessage="1" sqref="D14:D119" xr:uid="{00000000-0002-0000-0200-000000000000}">
      <formula1>"Conforme,Non conforme,Non applicable,Dérogé,Non testé"</formula1>
    </dataValidation>
    <dataValidation allowBlank="1" showInputMessage="1" showErrorMessage="1" prompt="Format JJ/MM/AAAA" sqref="D3" xr:uid="{00000000-0002-0000-0200-000001000000}"/>
  </dataValidation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DialogBox</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Julien Roche</dc:creator>
  <cp:keywords/>
  <dc:description/>
  <cp:lastModifiedBy>David FYON</cp:lastModifiedBy>
  <cp:revision/>
  <dcterms:created xsi:type="dcterms:W3CDTF">2025-03-05T16:22:31Z</dcterms:created>
  <dcterms:modified xsi:type="dcterms:W3CDTF">2025-08-04T13:30:31Z</dcterms:modified>
  <cp:category/>
  <cp:contentStatus/>
</cp:coreProperties>
</file>
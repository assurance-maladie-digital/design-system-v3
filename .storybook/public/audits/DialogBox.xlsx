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8"/>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C15F17A6-EB64-4010-98B9-4CFDE7E586A9}" xr6:coauthVersionLast="47" xr6:coauthVersionMax="47" xr10:uidLastSave="{00000000-0000-0000-0000-000000000000}"/>
  <bookViews>
    <workbookView xWindow="4640" yWindow="760" windowWidth="25600" windowHeight="17440" xr2:uid="{00000000-000D-0000-FFFF-FFFF00000000}"/>
  </bookViews>
  <sheets>
    <sheet name="DialogBox"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D8" i="2"/>
  <c r="D9" i="2" l="1"/>
  <c r="D6" i="2"/>
  <c r="D5" i="2"/>
  <c r="D10" i="2" l="1"/>
  <c r="D11" i="2" s="1"/>
</calcChain>
</file>

<file path=xl/sharedStrings.xml><?xml version="1.0" encoding="utf-8"?>
<sst xmlns="http://schemas.openxmlformats.org/spreadsheetml/2006/main" count="388" uniqueCount="282">
  <si>
    <t>Composant : DialogBox</t>
  </si>
  <si>
    <t>Audit</t>
  </si>
  <si>
    <t>Audit V1</t>
  </si>
  <si>
    <t>Date</t>
  </si>
  <si>
    <t>Version</t>
  </si>
  <si>
    <t>1.0.2</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</si>
  <si>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</si>
  <si>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</si>
  <si>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</si>
  <si>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</si>
  <si>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</si>
  <si>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</si>
  <si>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</si>
  <si>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</si>
  <si>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</si>
  <si>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</si>
  <si>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</si>
  <si>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</si>
  <si>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</si>
  <si>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</si>
  <si>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</si>
  <si>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</si>
  <si>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</si>
  <si>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</si>
  <si>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</si>
  <si>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</si>
  <si>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L'icône de fermerture de la boîte de dialogue est bien ignorée par les lecteurs d'écrans via un aria-hidden="true".
En revanche, le SVG possède un role="img" (en plus du aria-hidden="true") qui est à supprimer</t>
  </si>
  <si>
    <t>Utilisation du composant du design system SyIcon</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</si>
  <si>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</si>
  <si>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</si>
  <si>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</si>
  <si>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</si>
  <si>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</si>
  <si>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</si>
  <si>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</si>
  <si>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</si>
  <si>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</si>
  <si>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</si>
  <si>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</si>
  <si>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</si>
  <si>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</si>
  <si>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</si>
  <si>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</si>
  <si>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</si>
  <si>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</si>
  <si>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</si>
  <si>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</si>
  <si>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</si>
  <si>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</si>
  <si>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</si>
  <si>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</si>
  <si>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</si>
  <si>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</si>
  <si>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Thème par défaut :
  - Titre (16px gras) =&gt; texte noir sur fond blanc =&gt; 16,07 (conforme)
  - Contenu (16px normal) =&gt; texte noir sur fond blanc =&gt; 16,07 (conforme)
  - Libellé du bouton (classique bleu - 16px gras) :
    - normal =&gt; texte blanc sur fond bleu =&gt; 9,38 (conforme)
    - hover =&gt; texte blanc sur fond bleu =&gt; 7,7 (conforme)
    - focus =&gt; texte blanc sur fond bleu =&gt; 5,1 (conforme)
  - Libellé du bouton (classique transparent - 16px gras) :
    - normal =&gt; texte bleu sur fond blanc =&gt; 9,38 (conforme)
    - hover =&gt; texte bleu sur fond gris clair =&gt; 8,8 (conforme)
    - focus =&gt; texte bleu sur fond bleu clair =&gt; 7,6 (conforme)</t>
  </si>
  <si>
    <t>3.3</t>
  </si>
  <si>
    <t>Dans chaque page web, les couleurs utilisées dans les composants d’interface ou les éléments graphiques porteurs d’informations sont-elles suffisamment contrastées (hors cas particuliers) ?</t>
  </si>
  <si>
    <t xml:space="preserve">Thème par défaut :
  - Croix (fermeture) :
    - normal =&gt; icône noir sur fond blanc =&gt; 15,7 (conforme)
    - hover =&gt; icône noir sur fond gris clair =&gt; 14,6 (conforme)
    - focus (icône) =&gt; icône noir sur fond gris =&gt;12,4  (conforme)
    - focus (par rapport au fond contigü) =&gt; bordure grise par rapport fond blanc =&gt; 2,1 (non conforme =&gt; devraît avoir un contraste de 3 minimum)
  - Fond =&gt; fond de la page assombrie (overlay) et fond de la boîte de dialogue =&gt; 5,2 (conforme)
  - Focus du bouton classique bleu (par rapport au fond contigü) =&gt; bordure bleu ciel par rapport fond bleu état normal =&gt; 2,1 (non conforme =&gt; devraît avoir un contraste de 3 minimum)
  - Focus du bouton classique transparent (par rapport au fond contigü) =&gt; bordure bleu ciel par rapport fond blanc =&gt; 1,9 (non conforme =&gt; devraît avoir un contraste de 3 minimum)
  </t>
  </si>
  <si>
    <t>modification des couleur du focus</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</si>
  <si>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</si>
  <si>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</si>
  <si>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</si>
  <si>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</si>
  <si>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</si>
  <si>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</si>
  <si>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</si>
  <si>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</si>
  <si>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</si>
  <si>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</si>
  <si>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</si>
  <si>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</si>
  <si>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</si>
  <si>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</si>
  <si>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</si>
  <si>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</si>
  <si>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</si>
  <si>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</si>
  <si>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</si>
  <si>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</si>
  <si>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</si>
  <si>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</si>
  <si>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</si>
  <si>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</si>
  <si>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</si>
  <si>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</si>
  <si>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</si>
  <si>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</si>
  <si>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</si>
  <si>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</si>
  <si>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</si>
  <si>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</si>
  <si>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</si>
  <si>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</si>
  <si>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</si>
  <si>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</si>
  <si>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</si>
  <si>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</si>
  <si>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</si>
  <si>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</si>
  <si>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</si>
  <si>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</si>
  <si>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</si>
  <si>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</si>
  <si>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</si>
  <si>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</si>
  <si>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</si>
  <si>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</si>
  <si>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</si>
  <si>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</si>
  <si>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</si>
  <si>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</si>
  <si>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Points positifs : 
  - La boîte de dialogue peut se fermer via le bouton Echap
  - La tabulation boucle et ne se fait que sur les enfants de la boîte de dialogue
  - Lors de l'ouverture de la boîte, le focus est placé sur la div contenu et possède un tabindex="-1"
Point négatif :
  - Lors de la fermerture de la boîte de dialogue, le focus est redirigé sur le début de la page au lieu de l'élément déclencheur ou un élément passé en paramètre par le développeur.</t>
  </si>
  <si>
    <t>modification des attributs aria, et gestion du focus avec sauvegarde du dernier élément ayant eu le focus avant ouverture et rétablissement après fermeture,</t>
  </si>
  <si>
    <t>7.2</t>
  </si>
  <si>
    <t>Pour chaque script ayant une alternative, cette alternative est-elle pertinente ?</t>
  </si>
  <si>
    <t>7.3</t>
  </si>
  <si>
    <t>Chaque script est-il contrôlable par le clavier et par tout dispositif de pointage (hors cas particuliers) ?</t>
  </si>
  <si>
    <t>voir 7,1</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</si>
  <si>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</si>
  <si>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</si>
  <si>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</si>
  <si>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</si>
  <si>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</si>
  <si>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</si>
  <si>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</si>
  <si>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</si>
  <si>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</si>
  <si>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Erreurs remontées par le validateur HTML W3C :
  - The aria-labelledby attribute must point to an element in the same document. (voir critère 7.1)</t>
  </si>
  <si>
    <t>fix de l'attribut avec utilisation de l'id du titre de la modale</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</si>
  <si>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</si>
  <si>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</si>
  <si>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</si>
  <si>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</si>
  <si>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</si>
  <si>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</si>
  <si>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</si>
  <si>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</si>
  <si>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</si>
  <si>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</si>
  <si>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</si>
  <si>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</si>
  <si>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</si>
  <si>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</si>
  <si>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</si>
  <si>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</si>
  <si>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</si>
  <si>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</si>
  <si>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</si>
  <si>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Attention, l'exemple "Title Slot"  de la documentation illustre une titre sous la forme d'un bouton. C'est une non-conformité à ce critère.</t>
  </si>
  <si>
    <t>modification de la storie</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</si>
  <si>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</si>
  <si>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</si>
  <si>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</si>
  <si>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</si>
  <si>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</si>
  <si>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</si>
  <si>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</si>
  <si>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</si>
  <si>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</si>
  <si>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</si>
  <si>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</si>
  <si>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</si>
  <si>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</si>
  <si>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</si>
  <si>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</si>
  <si>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</si>
  <si>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</si>
  <si>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</si>
  <si>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</si>
  <si>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</si>
  <si>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</si>
  <si>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Oui, chaque élément possède une couleur de fond et de polices, au moins, héritée d’un parent.</t>
  </si>
  <si>
    <t>10.6</t>
  </si>
  <si>
    <t>Dans chaque page web, chaque lien dont la nature n’est pas évidente est-il visible par rapport au texte environnant ?</t>
  </si>
  <si>
    <t>10.7</t>
  </si>
  <si>
    <t>Dans chaque page web, pour chaque élément recevant le focus, la prise de focus est-elle visible ?</t>
  </si>
  <si>
    <t>Le focus au niveau des boutons est non conforme (voir critère 3.3)</t>
  </si>
  <si>
    <t>voir 3,3</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</si>
  <si>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</si>
  <si>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</si>
  <si>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</si>
  <si>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</si>
  <si>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L'icône de fermerture possède un nom accessible pour l'identifier comme tel.</t>
  </si>
  <si>
    <t>10.10</t>
  </si>
  <si>
    <t>Dans chaque page web, l’information ne doit pas être donnée par la forme, taille ou position uniquement. Cette règle est-elle implémentée de façon pertinente ?</t>
  </si>
  <si>
    <t>Le nom accessible de l'icône de fermeture est explicite : "Fermer la boîte de dialogue"</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</si>
  <si>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</si>
  <si>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</si>
  <si>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Aucun troncage de texte. Le composant n'oblige pas à avoir recours au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</si>
  <si>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</si>
  <si>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</si>
  <si>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
Les propriétés line-height et letter-spacing ne sont pas appliquées sur  le titre à cause des !important sur la class .text-h6</t>
  </si>
  <si>
    <t>Suppression des importants</t>
  </si>
  <si>
    <t>10.13</t>
  </si>
  <si>
    <t>Dans chaque page web, les contenus additionnels apparaissant à la prise de focus ou au survol d’un composant d’interface sont-ils contrôlables par l’utilisateur (hors cas particuliers) ?</t>
  </si>
  <si>
    <t>Ce composant n'est actuellement pas conforme au pattern W3C "dialog" donc il est ciblé par ce critère.
Le composant possède trois mécanismes de fermerture (clic sur l'overlay, touche Echap ou bouton de fermeture) et reste visible jusqu’à ce que l’utilisateur déclenche une action masquant ce contenu sans déplacer le focus ou le pointeur de la souris du bouton de déclenchement.</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</si>
  <si>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</si>
  <si>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</si>
  <si>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</si>
  <si>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</si>
  <si>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</si>
  <si>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</si>
  <si>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</si>
  <si>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</si>
  <si>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</si>
  <si>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</si>
  <si>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</si>
  <si>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</si>
  <si>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</si>
  <si>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</si>
  <si>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</si>
  <si>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</si>
  <si>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</si>
  <si>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</si>
  <si>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</si>
  <si>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</si>
  <si>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</si>
  <si>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</si>
  <si>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</si>
  <si>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</si>
  <si>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</si>
  <si>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</si>
  <si>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</si>
  <si>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</si>
  <si>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</si>
  <si>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</si>
  <si>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</si>
  <si>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</si>
  <si>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</si>
  <si>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</si>
  <si>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</si>
  <si>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</si>
  <si>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</si>
  <si>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</si>
  <si>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</si>
  <si>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</si>
  <si>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</si>
  <si>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</si>
  <si>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</si>
  <si>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</si>
  <si>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</si>
  <si>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</si>
  <si>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Au format mobile, l'ordre de tabulation des boutons "Valider" et "Annuler" est inversé. Soit on doit ré-inverser visuellement pour que mobile = desktop visuellement et lors de la tabulation. Soit on fait une exception en gérant dans le DOM le cas mobile d'une part (Valider/Annuler) et le cas desktop d'autre part (Annuler/Valider). Il est fortement déconseillé d'utiliser la solution tabindex.</t>
  </si>
  <si>
    <t>Réorganisation des bouttons dans le template</t>
  </si>
  <si>
    <t>12.9</t>
  </si>
  <si>
    <t>Dans chaque page web, la navigation ne doit pas contenir de piège au clavier. Cette règle est-elle respectée ?</t>
  </si>
  <si>
    <t>La navigation est conforme au pattern W3C Dialog (voir critère 7.1)</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</si>
  <si>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</si>
  <si>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</si>
  <si>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</si>
  <si>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</si>
  <si>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La boîte de dialogue et ses enfants sont atteignables au clavier.</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</si>
  <si>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</si>
  <si>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</si>
  <si>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</si>
  <si>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</si>
  <si>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</si>
  <si>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</si>
  <si>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</si>
  <si>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</si>
  <si>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</si>
  <si>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</si>
  <si>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</si>
  <si>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</si>
  <si>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</si>
  <si>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</si>
  <si>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</si>
  <si>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</si>
  <si>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</si>
  <si>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</si>
  <si>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</si>
  <si>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</si>
  <si>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</si>
  <si>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</si>
  <si>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</si>
  <si>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</si>
  <si>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</si>
  <si>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</si>
  <si>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</si>
  <si>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 pattern de conception W3C est "Dialog Modal". Le container doit :
  - avoir le rôle "dialog"
  - avoir l'attribut aria-modal="true"
  - posséder un nom accessible (via aria-label ou aria-labelledby)
  - (optionnellement) posséder une description accessible sauf si la boîte contient des structures sémantiques (listes, tableaux, plusieurs paragraphes, etc.)</t>
  </si>
  <si>
    <t>- https://www.w3.org/WAI/ARIA/apg/patterns/dialog-modal/examples/dialog/
- https://www.accede-web.com/notices/interface-riche/fenetres-modales/</t>
  </si>
  <si>
    <t>1- L'élément déclencheur devra donner le focus sur un élément précis de la boîte. Cet élément diffère selon les situations :
  - Si structures sémantiques complexes =&gt; un élément statique au début du contenu + tabindex="-1"
  - S'il s'agit d'une dernière étape d'un processus difficilement réversible (ex: suppression de données) =&gt; bouton d'annulation ou de fermerture
  - S'il s'agit d'information de lecture ou de poursuite d'un traitement =&gt; bouton "continuer" ou de fermerture
  - Sinon =&gt; le titre (avec un taxbindex="-1") ou le bouton de fermeture
2- Lors de la fermerture de la boîte de dialogue, le focus doit revenir sur l'élément déclencheur sauf si :
  - cet élément déclencheur n'existe plus =&gt; focus placé sur un autre élément dans l'ordre logique du flux de lecture
  - il est peu probable que l'utilisateur ait besoin de réouvrir la boîte de dialogue ou que celle-ci concerne une étape ultérieure terminée (ex : au sein d'une boîte d'outil, boîte de dialogue demandant le nombre de ligne à créer pour faire un tableau =&gt; focus sur la première cellule du tableau nouvellement créé).
3- La présence d'un bouton de fermerture est fortement recommandé.
4- Le contenu de la boîte de dialogue n'est pas présent dans le DOM si non visible ou possède un display:none ou visibility:hidden</t>
  </si>
  <si>
    <t>Une fois la boîte de dialogue ouverte, le focus ne devra se déplacer qu'entre les éléments interactifs enfants de cette boîte. La tabulation boucle sur les enfants (si on arrive au dernier élément, le prochain sera le premier et inversement).
Les interactions clavier sont :
  - Tab / Shift+Tab : Déplace le focus vers l'élément interactif suivant (ou précédent si Shift+Tab). Boucle uniquement sur les enfants de la boîte de dialogue
  - Echap : Ferme la boîte de dialogue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</si>
</sst>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rgb="FF006100"/>
      <name val="Aptos Narrow"/>
      <scheme val="minor"/>
    </font>
    <font>
      <sz val="12"/>
      <color rgb="FF00611B"/>
      <name val="Aptos Narrow"/>
      <scheme val="minor"/>
    </font>
  </fonts>
  <fills count="8">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rgb="FF000000"/>
      </patternFill>
    </fill>
    <fill>
      <patternFill patternType="solid">
        <fgColor rgb="FFC6EFCE"/>
        <bgColor indexed="64"/>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7" fillId="3" borderId="11" xfId="0" applyFont="1" applyFill="1" applyBorder="1"/>
    <xf numFmtId="0" fontId="3" fillId="0" borderId="5" xfId="0" applyFont="1" applyBorder="1"/>
    <xf numFmtId="0" fontId="13" fillId="0" borderId="5" xfId="0" applyFont="1" applyBorder="1" applyAlignment="1">
      <alignment horizontal="right"/>
    </xf>
    <xf numFmtId="0" fontId="10" fillId="0" borderId="5" xfId="0" applyFont="1" applyBorder="1" applyAlignment="1">
      <alignment horizontal="right"/>
    </xf>
    <xf numFmtId="9" fontId="13" fillId="0" borderId="5" xfId="0" applyNumberFormat="1" applyFont="1" applyBorder="1"/>
    <xf numFmtId="0" fontId="14" fillId="6" borderId="5" xfId="0" applyFont="1" applyFill="1" applyBorder="1" applyAlignment="1">
      <alignment horizontal="left" vertical="top" wrapText="1"/>
    </xf>
    <xf numFmtId="0" fontId="2" fillId="5" borderId="0" xfId="0" applyFont="1" applyFill="1" applyAlignment="1">
      <alignment horizontal="center"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5" xfId="0" applyFont="1" applyBorder="1" applyAlignment="1">
      <alignment horizontal="left" vertical="center"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3" fillId="0" borderId="6" xfId="0" applyFont="1" applyBorder="1" applyAlignment="1">
      <alignment horizontal="left" vertical="top"/>
    </xf>
    <xf numFmtId="0" fontId="3" fillId="0" borderId="9" xfId="0" applyFont="1" applyBorder="1" applyAlignment="1">
      <alignment horizontal="left" vertical="top"/>
    </xf>
    <xf numFmtId="0" fontId="3" fillId="0" borderId="10" xfId="0" applyFont="1" applyBorder="1" applyAlignment="1">
      <alignment horizontal="left" vertical="top"/>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11" fillId="3" borderId="5" xfId="0" applyFont="1" applyFill="1" applyBorder="1" applyAlignment="1">
      <alignment horizontal="left"/>
    </xf>
    <xf numFmtId="0" fontId="3" fillId="0" borderId="5" xfId="0" applyFont="1" applyBorder="1" applyAlignment="1">
      <alignment horizontal="left" vertical="top" wrapText="1"/>
    </xf>
    <xf numFmtId="0" fontId="15" fillId="7" borderId="5" xfId="0" applyFont="1" applyFill="1" applyBorder="1" applyAlignment="1">
      <alignment vertical="top" wrapText="1"/>
    </xf>
    <xf numFmtId="0" fontId="15" fillId="7" borderId="5" xfId="0" applyFont="1" applyFill="1" applyBorder="1" applyAlignment="1">
      <alignment vertical="top"/>
    </xf>
  </cellXfs>
  <cellStyles count="2">
    <cellStyle name="Normal" xfId="0" builtinId="0"/>
    <cellStyle name="Percent" xfId="1" builtinId="5"/>
  </cellStyles>
  <dxfs count="12">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C6EFCE"/>
      <color rgb="FF00611B"/>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7"/>
  <sheetViews>
    <sheetView tabSelected="1" topLeftCell="A95" zoomScale="110" zoomScaleNormal="110" workbookViewId="0">
      <selection activeCell="F104" sqref="F104"/>
    </sheetView>
  </sheetViews>
  <sheetFormatPr defaultColWidth="10.875" defaultRowHeight="15.95"/>
  <cols>
    <col min="1" max="1" width="15" style="1" customWidth="1"/>
    <col min="2" max="2" width="10.375" style="1" bestFit="1" customWidth="1"/>
    <col min="3" max="3" width="59.875" style="1" customWidth="1"/>
    <col min="4" max="4" width="15.125" style="1" bestFit="1" customWidth="1"/>
    <col min="5" max="5" width="95.875" style="1" customWidth="1"/>
    <col min="6" max="6" width="17.125" style="1" customWidth="1"/>
    <col min="7" max="16384" width="10.875" style="1"/>
  </cols>
  <sheetData>
    <row r="1" spans="1:6" ht="32.1" customHeight="1">
      <c r="A1" s="22" t="s">
        <v>0</v>
      </c>
      <c r="B1" s="22"/>
      <c r="C1" s="22"/>
      <c r="D1" s="22"/>
    </row>
    <row r="2" spans="1:6" ht="18.95">
      <c r="A2" s="27" t="s">
        <v>1</v>
      </c>
      <c r="B2" s="27"/>
      <c r="C2" s="27"/>
      <c r="D2" s="18" t="s">
        <v>2</v>
      </c>
      <c r="E2" s="18"/>
    </row>
    <row r="3" spans="1:6" ht="18.95">
      <c r="A3" s="23" t="s">
        <v>3</v>
      </c>
      <c r="B3" s="23"/>
      <c r="C3" s="23"/>
      <c r="D3" s="8">
        <v>45849</v>
      </c>
      <c r="E3" s="8"/>
    </row>
    <row r="4" spans="1:6" ht="18.95">
      <c r="A4" s="24" t="s">
        <v>4</v>
      </c>
      <c r="B4" s="25"/>
      <c r="C4" s="26"/>
      <c r="D4" s="13" t="s">
        <v>5</v>
      </c>
      <c r="E4" s="19"/>
    </row>
    <row r="5" spans="1:6" ht="15.95" customHeight="1">
      <c r="A5" s="23" t="s">
        <v>6</v>
      </c>
      <c r="B5" s="23"/>
      <c r="C5" s="23"/>
      <c r="D5" s="9">
        <f xml:space="preserve"> COUNTIF($D$14:$D$119,"Conforme")</f>
        <v>12</v>
      </c>
      <c r="E5" s="9"/>
    </row>
    <row r="6" spans="1:6" ht="18.95">
      <c r="A6" s="23" t="s">
        <v>7</v>
      </c>
      <c r="B6" s="23"/>
      <c r="C6" s="23"/>
      <c r="D6" s="9">
        <f xml:space="preserve"> COUNTIF($D$14:$D$119,"Non conforme")</f>
        <v>9</v>
      </c>
      <c r="E6" s="9"/>
    </row>
    <row r="7" spans="1:6" ht="18.95">
      <c r="A7" s="23" t="s">
        <v>8</v>
      </c>
      <c r="B7" s="23"/>
      <c r="C7" s="23"/>
      <c r="D7" s="9">
        <f xml:space="preserve"> COUNTIF($D$14:$D$119,"Non applicable")</f>
        <v>85</v>
      </c>
      <c r="E7" s="9"/>
    </row>
    <row r="8" spans="1:6" ht="18.95">
      <c r="A8" s="23" t="s">
        <v>9</v>
      </c>
      <c r="B8" s="23"/>
      <c r="C8" s="23"/>
      <c r="D8" s="9">
        <f xml:space="preserve"> COUNTIF($D$14:$D$119,"Dérogé")</f>
        <v>0</v>
      </c>
      <c r="E8" s="9"/>
    </row>
    <row r="9" spans="1:6" ht="18.95">
      <c r="A9" s="23" t="s">
        <v>10</v>
      </c>
      <c r="B9" s="23"/>
      <c r="C9" s="23"/>
      <c r="D9" s="9">
        <f xml:space="preserve"> COUNTIF($D$14:$D$119,"Non testé")</f>
        <v>0</v>
      </c>
      <c r="E9" s="9"/>
    </row>
    <row r="10" spans="1:6" ht="18.95" customHeight="1">
      <c r="A10" s="28" t="s">
        <v>11</v>
      </c>
      <c r="B10" s="29"/>
      <c r="C10" s="30"/>
      <c r="D10" s="14">
        <f>IF(SUM(D5:D6)&gt;0,D5/SUM(D5:D6),"")</f>
        <v>0.5714285714285714</v>
      </c>
      <c r="E10" s="20"/>
    </row>
    <row r="11" spans="1:6" ht="18.95" customHeight="1">
      <c r="A11" s="28" t="s">
        <v>12</v>
      </c>
      <c r="B11" s="29"/>
      <c r="C11" s="30"/>
      <c r="D11" s="14">
        <f>IF(SUM(D5:D6)&gt;0,1-ROUND(D10,2),"")</f>
        <v>0.43000000000000005</v>
      </c>
      <c r="E11" s="20"/>
    </row>
    <row r="12" spans="1:6">
      <c r="A12" s="7"/>
      <c r="B12" s="7"/>
      <c r="C12" s="7"/>
    </row>
    <row r="13" spans="1:6" ht="18.95">
      <c r="A13" s="4" t="s">
        <v>13</v>
      </c>
      <c r="B13" s="4" t="s">
        <v>14</v>
      </c>
      <c r="C13" s="4" t="s">
        <v>15</v>
      </c>
      <c r="D13" s="4" t="s">
        <v>16</v>
      </c>
      <c r="E13" s="6" t="s">
        <v>17</v>
      </c>
      <c r="F13" s="16" t="s">
        <v>18</v>
      </c>
    </row>
    <row r="14" spans="1:6" ht="33.950000000000003">
      <c r="A14" s="31" t="s">
        <v>19</v>
      </c>
      <c r="B14" s="2" t="s">
        <v>20</v>
      </c>
      <c r="C14" s="3" t="s">
        <v>21</v>
      </c>
      <c r="D14" s="5" t="s">
        <v>22</v>
      </c>
      <c r="E14" s="11"/>
      <c r="F14" s="17"/>
    </row>
    <row r="15" spans="1:6" ht="61.5">
      <c r="A15" s="32"/>
      <c r="B15" s="2" t="s">
        <v>23</v>
      </c>
      <c r="C15" s="3" t="s">
        <v>24</v>
      </c>
      <c r="D15" s="5" t="s">
        <v>25</v>
      </c>
      <c r="E15" s="12" t="s">
        <v>26</v>
      </c>
      <c r="F15" s="43" t="s">
        <v>27</v>
      </c>
    </row>
    <row r="16" spans="1:6" ht="33.950000000000003">
      <c r="A16" s="32"/>
      <c r="B16" s="2" t="s">
        <v>28</v>
      </c>
      <c r="C16" s="3" t="s">
        <v>29</v>
      </c>
      <c r="D16" s="5" t="s">
        <v>22</v>
      </c>
      <c r="E16" s="11"/>
      <c r="F16" s="17"/>
    </row>
    <row r="17" spans="1:6" ht="51">
      <c r="A17" s="32"/>
      <c r="B17" s="2" t="s">
        <v>30</v>
      </c>
      <c r="C17" s="3" t="s">
        <v>31</v>
      </c>
      <c r="D17" s="5" t="s">
        <v>22</v>
      </c>
      <c r="E17" s="11"/>
      <c r="F17" s="17"/>
    </row>
    <row r="18" spans="1:6" ht="33.950000000000003">
      <c r="A18" s="32"/>
      <c r="B18" s="2" t="s">
        <v>32</v>
      </c>
      <c r="C18" s="3" t="s">
        <v>33</v>
      </c>
      <c r="D18" s="5" t="s">
        <v>22</v>
      </c>
      <c r="E18" s="11"/>
      <c r="F18" s="17"/>
    </row>
    <row r="19" spans="1:6" ht="33.950000000000003">
      <c r="A19" s="32"/>
      <c r="B19" s="2" t="s">
        <v>34</v>
      </c>
      <c r="C19" s="3" t="s">
        <v>35</v>
      </c>
      <c r="D19" s="5" t="s">
        <v>22</v>
      </c>
      <c r="E19" s="11"/>
      <c r="F19" s="17"/>
    </row>
    <row r="20" spans="1:6" ht="33.950000000000003">
      <c r="A20" s="32"/>
      <c r="B20" s="2" t="s">
        <v>36</v>
      </c>
      <c r="C20" s="3" t="s">
        <v>37</v>
      </c>
      <c r="D20" s="5" t="s">
        <v>22</v>
      </c>
      <c r="E20" s="11"/>
      <c r="F20" s="17"/>
    </row>
    <row r="21" spans="1:6" ht="51">
      <c r="A21" s="32"/>
      <c r="B21" s="2" t="s">
        <v>38</v>
      </c>
      <c r="C21" s="3" t="s">
        <v>39</v>
      </c>
      <c r="D21" s="5" t="s">
        <v>22</v>
      </c>
      <c r="E21" s="11"/>
      <c r="F21" s="17"/>
    </row>
    <row r="22" spans="1:6" ht="33.950000000000003">
      <c r="A22" s="33"/>
      <c r="B22" s="2" t="s">
        <v>40</v>
      </c>
      <c r="C22" s="3" t="s">
        <v>41</v>
      </c>
      <c r="D22" s="5" t="s">
        <v>22</v>
      </c>
      <c r="E22" s="11"/>
      <c r="F22" s="17"/>
    </row>
    <row r="23" spans="1:6" ht="18.95">
      <c r="A23" s="34" t="s">
        <v>42</v>
      </c>
      <c r="B23" s="2" t="s">
        <v>43</v>
      </c>
      <c r="C23" s="3" t="s">
        <v>44</v>
      </c>
      <c r="D23" s="5" t="s">
        <v>22</v>
      </c>
      <c r="E23" s="11"/>
      <c r="F23" s="17"/>
    </row>
    <row r="24" spans="1:6" ht="33.950000000000003">
      <c r="A24" s="33"/>
      <c r="B24" s="2" t="s">
        <v>45</v>
      </c>
      <c r="C24" s="3" t="s">
        <v>46</v>
      </c>
      <c r="D24" s="5" t="s">
        <v>22</v>
      </c>
      <c r="E24" s="11"/>
      <c r="F24" s="17"/>
    </row>
    <row r="25" spans="1:6" ht="33.950000000000003">
      <c r="A25" s="34" t="s">
        <v>47</v>
      </c>
      <c r="B25" s="2" t="s">
        <v>48</v>
      </c>
      <c r="C25" s="3" t="s">
        <v>49</v>
      </c>
      <c r="D25" s="5" t="s">
        <v>22</v>
      </c>
      <c r="E25" s="11"/>
      <c r="F25" s="17"/>
    </row>
    <row r="26" spans="1:6" ht="186.95">
      <c r="A26" s="32"/>
      <c r="B26" s="2" t="s">
        <v>50</v>
      </c>
      <c r="C26" s="3" t="s">
        <v>51</v>
      </c>
      <c r="D26" s="5" t="s">
        <v>52</v>
      </c>
      <c r="E26" s="11" t="s">
        <v>53</v>
      </c>
      <c r="F26" s="17"/>
    </row>
    <row r="27" spans="1:6" ht="200.25">
      <c r="A27" s="33"/>
      <c r="B27" s="2" t="s">
        <v>54</v>
      </c>
      <c r="C27" s="3" t="s">
        <v>55</v>
      </c>
      <c r="D27" s="5" t="s">
        <v>25</v>
      </c>
      <c r="E27" s="11" t="s">
        <v>56</v>
      </c>
      <c r="F27" s="43" t="s">
        <v>57</v>
      </c>
    </row>
    <row r="28" spans="1:6" ht="33.950000000000003">
      <c r="A28" s="34" t="s">
        <v>58</v>
      </c>
      <c r="B28" s="2" t="s">
        <v>59</v>
      </c>
      <c r="C28" s="3" t="s">
        <v>60</v>
      </c>
      <c r="D28" s="5" t="s">
        <v>22</v>
      </c>
      <c r="E28" s="11"/>
      <c r="F28" s="17"/>
    </row>
    <row r="29" spans="1:6" ht="51">
      <c r="A29" s="32"/>
      <c r="B29" s="2" t="s">
        <v>61</v>
      </c>
      <c r="C29" s="3" t="s">
        <v>62</v>
      </c>
      <c r="D29" s="5" t="s">
        <v>22</v>
      </c>
      <c r="E29" s="11"/>
      <c r="F29" s="17"/>
    </row>
    <row r="30" spans="1:6" ht="33.950000000000003">
      <c r="A30" s="32"/>
      <c r="B30" s="2" t="s">
        <v>63</v>
      </c>
      <c r="C30" s="3" t="s">
        <v>64</v>
      </c>
      <c r="D30" s="5" t="s">
        <v>22</v>
      </c>
      <c r="E30" s="11"/>
      <c r="F30" s="17"/>
    </row>
    <row r="31" spans="1:6" ht="33.950000000000003">
      <c r="A31" s="32"/>
      <c r="B31" s="2" t="s">
        <v>65</v>
      </c>
      <c r="C31" s="3" t="s">
        <v>66</v>
      </c>
      <c r="D31" s="5" t="s">
        <v>22</v>
      </c>
      <c r="E31" s="11"/>
      <c r="F31" s="17"/>
    </row>
    <row r="32" spans="1:6" ht="33.950000000000003">
      <c r="A32" s="32"/>
      <c r="B32" s="2" t="s">
        <v>67</v>
      </c>
      <c r="C32" s="3" t="s">
        <v>68</v>
      </c>
      <c r="D32" s="5" t="s">
        <v>22</v>
      </c>
      <c r="E32" s="11"/>
      <c r="F32" s="17"/>
    </row>
    <row r="33" spans="1:6" ht="33.950000000000003">
      <c r="A33" s="32"/>
      <c r="B33" s="2" t="s">
        <v>69</v>
      </c>
      <c r="C33" s="3" t="s">
        <v>70</v>
      </c>
      <c r="D33" s="5" t="s">
        <v>22</v>
      </c>
      <c r="E33" s="11"/>
      <c r="F33" s="17"/>
    </row>
    <row r="34" spans="1:6" ht="33.950000000000003">
      <c r="A34" s="32"/>
      <c r="B34" s="2" t="s">
        <v>71</v>
      </c>
      <c r="C34" s="3" t="s">
        <v>72</v>
      </c>
      <c r="D34" s="5" t="s">
        <v>22</v>
      </c>
      <c r="E34" s="11"/>
      <c r="F34" s="17"/>
    </row>
    <row r="35" spans="1:6" ht="33.950000000000003">
      <c r="A35" s="32"/>
      <c r="B35" s="2" t="s">
        <v>73</v>
      </c>
      <c r="C35" s="3" t="s">
        <v>74</v>
      </c>
      <c r="D35" s="5" t="s">
        <v>22</v>
      </c>
      <c r="E35" s="11"/>
      <c r="F35" s="17"/>
    </row>
    <row r="36" spans="1:6" ht="33.950000000000003">
      <c r="A36" s="32"/>
      <c r="B36" s="2" t="s">
        <v>75</v>
      </c>
      <c r="C36" s="3" t="s">
        <v>76</v>
      </c>
      <c r="D36" s="5" t="s">
        <v>22</v>
      </c>
      <c r="E36" s="11"/>
      <c r="F36" s="17"/>
    </row>
    <row r="37" spans="1:6" ht="33.950000000000003">
      <c r="A37" s="32"/>
      <c r="B37" s="2" t="s">
        <v>77</v>
      </c>
      <c r="C37" s="3" t="s">
        <v>78</v>
      </c>
      <c r="D37" s="5" t="s">
        <v>22</v>
      </c>
      <c r="E37" s="11"/>
      <c r="F37" s="17"/>
    </row>
    <row r="38" spans="1:6" ht="33.950000000000003">
      <c r="A38" s="32"/>
      <c r="B38" s="2" t="s">
        <v>79</v>
      </c>
      <c r="C38" s="3" t="s">
        <v>80</v>
      </c>
      <c r="D38" s="5" t="s">
        <v>22</v>
      </c>
      <c r="E38" s="11"/>
      <c r="F38" s="17"/>
    </row>
    <row r="39" spans="1:6" ht="33.950000000000003">
      <c r="A39" s="32"/>
      <c r="B39" s="2" t="s">
        <v>81</v>
      </c>
      <c r="C39" s="3" t="s">
        <v>82</v>
      </c>
      <c r="D39" s="5" t="s">
        <v>22</v>
      </c>
      <c r="E39" s="11"/>
      <c r="F39" s="17"/>
    </row>
    <row r="40" spans="1:6" ht="33.950000000000003">
      <c r="A40" s="33"/>
      <c r="B40" s="2" t="s">
        <v>83</v>
      </c>
      <c r="C40" s="3" t="s">
        <v>84</v>
      </c>
      <c r="D40" s="5" t="s">
        <v>22</v>
      </c>
      <c r="E40" s="11"/>
      <c r="F40" s="17"/>
    </row>
    <row r="41" spans="1:6" ht="18.95">
      <c r="A41" s="34" t="s">
        <v>85</v>
      </c>
      <c r="B41" s="2" t="s">
        <v>86</v>
      </c>
      <c r="C41" s="3" t="s">
        <v>87</v>
      </c>
      <c r="D41" s="5" t="s">
        <v>22</v>
      </c>
      <c r="E41" s="11"/>
      <c r="F41" s="17"/>
    </row>
    <row r="42" spans="1:6" ht="33.950000000000003">
      <c r="A42" s="32"/>
      <c r="B42" s="2" t="s">
        <v>88</v>
      </c>
      <c r="C42" s="3" t="s">
        <v>89</v>
      </c>
      <c r="D42" s="5" t="s">
        <v>22</v>
      </c>
      <c r="E42" s="11"/>
      <c r="F42" s="17"/>
    </row>
    <row r="43" spans="1:6" ht="33.950000000000003">
      <c r="A43" s="32"/>
      <c r="B43" s="2" t="s">
        <v>90</v>
      </c>
      <c r="C43" s="3" t="s">
        <v>91</v>
      </c>
      <c r="D43" s="5" t="s">
        <v>22</v>
      </c>
      <c r="E43" s="11"/>
      <c r="F43" s="17"/>
    </row>
    <row r="44" spans="1:6" ht="33.950000000000003">
      <c r="A44" s="32"/>
      <c r="B44" s="2" t="s">
        <v>92</v>
      </c>
      <c r="C44" s="3" t="s">
        <v>93</v>
      </c>
      <c r="D44" s="5" t="s">
        <v>22</v>
      </c>
      <c r="E44" s="11"/>
      <c r="F44" s="17"/>
    </row>
    <row r="45" spans="1:6" ht="33.950000000000003">
      <c r="A45" s="32"/>
      <c r="B45" s="2" t="s">
        <v>94</v>
      </c>
      <c r="C45" s="3" t="s">
        <v>95</v>
      </c>
      <c r="D45" s="5" t="s">
        <v>22</v>
      </c>
      <c r="E45" s="11"/>
      <c r="F45" s="17"/>
    </row>
    <row r="46" spans="1:6" ht="33.950000000000003">
      <c r="A46" s="32"/>
      <c r="B46" s="2" t="s">
        <v>96</v>
      </c>
      <c r="C46" s="3" t="s">
        <v>97</v>
      </c>
      <c r="D46" s="5" t="s">
        <v>22</v>
      </c>
      <c r="E46" s="11"/>
      <c r="F46" s="17"/>
    </row>
    <row r="47" spans="1:6" ht="51">
      <c r="A47" s="32"/>
      <c r="B47" s="2" t="s">
        <v>98</v>
      </c>
      <c r="C47" s="3" t="s">
        <v>99</v>
      </c>
      <c r="D47" s="5" t="s">
        <v>22</v>
      </c>
      <c r="E47" s="11"/>
      <c r="F47" s="17"/>
    </row>
    <row r="48" spans="1:6" ht="33.950000000000003">
      <c r="A48" s="33"/>
      <c r="B48" s="2" t="s">
        <v>100</v>
      </c>
      <c r="C48" s="3" t="s">
        <v>101</v>
      </c>
      <c r="D48" s="5" t="s">
        <v>22</v>
      </c>
      <c r="E48" s="11"/>
      <c r="F48" s="17"/>
    </row>
    <row r="49" spans="1:6" ht="18.95">
      <c r="A49" s="34" t="s">
        <v>102</v>
      </c>
      <c r="B49" s="2" t="s">
        <v>103</v>
      </c>
      <c r="C49" s="3" t="s">
        <v>104</v>
      </c>
      <c r="D49" s="5" t="s">
        <v>22</v>
      </c>
      <c r="E49" s="11"/>
      <c r="F49" s="17"/>
    </row>
    <row r="50" spans="1:6" ht="18.95">
      <c r="A50" s="33"/>
      <c r="B50" s="2" t="s">
        <v>105</v>
      </c>
      <c r="C50" s="3" t="s">
        <v>106</v>
      </c>
      <c r="D50" s="5" t="s">
        <v>22</v>
      </c>
      <c r="E50" s="11"/>
      <c r="F50" s="17"/>
    </row>
    <row r="51" spans="1:6" ht="138.75">
      <c r="A51" s="34" t="s">
        <v>107</v>
      </c>
      <c r="B51" s="2" t="s">
        <v>108</v>
      </c>
      <c r="C51" s="3" t="s">
        <v>109</v>
      </c>
      <c r="D51" s="5" t="s">
        <v>25</v>
      </c>
      <c r="E51" s="11" t="s">
        <v>110</v>
      </c>
      <c r="F51" s="43" t="s">
        <v>111</v>
      </c>
    </row>
    <row r="52" spans="1:6" ht="33.950000000000003">
      <c r="A52" s="32"/>
      <c r="B52" s="2" t="s">
        <v>112</v>
      </c>
      <c r="C52" s="3" t="s">
        <v>113</v>
      </c>
      <c r="D52" s="5" t="s">
        <v>22</v>
      </c>
      <c r="E52" s="11"/>
      <c r="F52" s="17"/>
    </row>
    <row r="53" spans="1:6" ht="123">
      <c r="A53" s="32"/>
      <c r="B53" s="2" t="s">
        <v>114</v>
      </c>
      <c r="C53" s="3" t="s">
        <v>115</v>
      </c>
      <c r="D53" s="5" t="s">
        <v>25</v>
      </c>
      <c r="E53" s="11" t="s">
        <v>110</v>
      </c>
      <c r="F53" s="44" t="s">
        <v>116</v>
      </c>
    </row>
    <row r="54" spans="1:6" ht="33.950000000000003">
      <c r="A54" s="32"/>
      <c r="B54" s="2" t="s">
        <v>117</v>
      </c>
      <c r="C54" s="3" t="s">
        <v>118</v>
      </c>
      <c r="D54" s="5" t="s">
        <v>22</v>
      </c>
      <c r="E54" s="11"/>
      <c r="F54" s="17"/>
    </row>
    <row r="55" spans="1:6" ht="33.950000000000003">
      <c r="A55" s="33"/>
      <c r="B55" s="2" t="s">
        <v>119</v>
      </c>
      <c r="C55" s="3" t="s">
        <v>120</v>
      </c>
      <c r="D55" s="5" t="s">
        <v>22</v>
      </c>
      <c r="E55" s="11"/>
      <c r="F55" s="17"/>
    </row>
    <row r="56" spans="1:6" ht="18.95">
      <c r="A56" s="34" t="s">
        <v>121</v>
      </c>
      <c r="B56" s="2" t="s">
        <v>122</v>
      </c>
      <c r="C56" s="3" t="s">
        <v>123</v>
      </c>
      <c r="D56" s="5" t="s">
        <v>22</v>
      </c>
      <c r="E56" s="11"/>
      <c r="F56" s="17"/>
    </row>
    <row r="57" spans="1:6" ht="46.5">
      <c r="A57" s="32"/>
      <c r="B57" s="2" t="s">
        <v>124</v>
      </c>
      <c r="C57" s="3" t="s">
        <v>125</v>
      </c>
      <c r="D57" s="5" t="s">
        <v>25</v>
      </c>
      <c r="E57" s="11" t="s">
        <v>126</v>
      </c>
      <c r="F57" s="43" t="s">
        <v>127</v>
      </c>
    </row>
    <row r="58" spans="1:6" ht="18.95">
      <c r="A58" s="32"/>
      <c r="B58" s="2" t="s">
        <v>128</v>
      </c>
      <c r="C58" s="3" t="s">
        <v>129</v>
      </c>
      <c r="D58" s="5" t="s">
        <v>22</v>
      </c>
      <c r="E58" s="11"/>
      <c r="F58" s="17"/>
    </row>
    <row r="59" spans="1:6" ht="33.950000000000003">
      <c r="A59" s="32"/>
      <c r="B59" s="2" t="s">
        <v>130</v>
      </c>
      <c r="C59" s="3" t="s">
        <v>131</v>
      </c>
      <c r="D59" s="5" t="s">
        <v>22</v>
      </c>
      <c r="E59" s="11"/>
      <c r="F59" s="17"/>
    </row>
    <row r="60" spans="1:6" ht="18.95">
      <c r="A60" s="32"/>
      <c r="B60" s="2" t="s">
        <v>132</v>
      </c>
      <c r="C60" s="3" t="s">
        <v>133</v>
      </c>
      <c r="D60" s="5" t="s">
        <v>22</v>
      </c>
      <c r="E60" s="11"/>
      <c r="F60" s="17"/>
    </row>
    <row r="61" spans="1:6" ht="18.95">
      <c r="A61" s="32"/>
      <c r="B61" s="2" t="s">
        <v>134</v>
      </c>
      <c r="C61" s="3" t="s">
        <v>135</v>
      </c>
      <c r="D61" s="5" t="s">
        <v>22</v>
      </c>
      <c r="E61" s="11"/>
      <c r="F61" s="17"/>
    </row>
    <row r="62" spans="1:6" ht="33.950000000000003">
      <c r="A62" s="32"/>
      <c r="B62" s="2" t="s">
        <v>136</v>
      </c>
      <c r="C62" s="3" t="s">
        <v>137</v>
      </c>
      <c r="D62" s="5" t="s">
        <v>22</v>
      </c>
      <c r="E62" s="11"/>
      <c r="F62" s="17"/>
    </row>
    <row r="63" spans="1:6" ht="33.950000000000003">
      <c r="A63" s="32"/>
      <c r="B63" s="2" t="s">
        <v>138</v>
      </c>
      <c r="C63" s="3" t="s">
        <v>139</v>
      </c>
      <c r="D63" s="5" t="s">
        <v>22</v>
      </c>
      <c r="E63" s="11"/>
      <c r="F63" s="17"/>
    </row>
    <row r="64" spans="1:6" ht="33.950000000000003">
      <c r="A64" s="32"/>
      <c r="B64" s="2" t="s">
        <v>140</v>
      </c>
      <c r="C64" s="3" t="s">
        <v>141</v>
      </c>
      <c r="D64" s="5" t="s">
        <v>22</v>
      </c>
      <c r="E64" s="11"/>
      <c r="F64" s="17"/>
    </row>
    <row r="65" spans="1:6" ht="33.950000000000003">
      <c r="A65" s="33"/>
      <c r="B65" s="2" t="s">
        <v>142</v>
      </c>
      <c r="C65" s="3" t="s">
        <v>143</v>
      </c>
      <c r="D65" s="5" t="s">
        <v>22</v>
      </c>
      <c r="E65" s="11"/>
      <c r="F65" s="17"/>
    </row>
    <row r="66" spans="1:6" ht="32.25">
      <c r="A66" s="34" t="s">
        <v>144</v>
      </c>
      <c r="B66" s="2" t="s">
        <v>145</v>
      </c>
      <c r="C66" s="3" t="s">
        <v>146</v>
      </c>
      <c r="D66" s="5" t="s">
        <v>25</v>
      </c>
      <c r="E66" s="11" t="s">
        <v>147</v>
      </c>
      <c r="F66" s="43" t="s">
        <v>148</v>
      </c>
    </row>
    <row r="67" spans="1:6" ht="33.950000000000003">
      <c r="A67" s="32"/>
      <c r="B67" s="2" t="s">
        <v>149</v>
      </c>
      <c r="C67" s="3" t="s">
        <v>150</v>
      </c>
      <c r="D67" s="5" t="s">
        <v>22</v>
      </c>
      <c r="E67" s="11"/>
      <c r="F67" s="17"/>
    </row>
    <row r="68" spans="1:6" ht="18.95">
      <c r="A68" s="32"/>
      <c r="B68" s="2" t="s">
        <v>151</v>
      </c>
      <c r="C68" s="3" t="s">
        <v>152</v>
      </c>
      <c r="D68" s="5" t="s">
        <v>22</v>
      </c>
      <c r="E68" s="11"/>
      <c r="F68" s="17"/>
    </row>
    <row r="69" spans="1:6" ht="33.950000000000003">
      <c r="A69" s="33"/>
      <c r="B69" s="2" t="s">
        <v>153</v>
      </c>
      <c r="C69" s="3" t="s">
        <v>154</v>
      </c>
      <c r="D69" s="5" t="s">
        <v>22</v>
      </c>
      <c r="E69" s="11"/>
      <c r="F69" s="17"/>
    </row>
    <row r="70" spans="1:6" ht="68.099999999999994">
      <c r="A70" s="34" t="s">
        <v>155</v>
      </c>
      <c r="B70" s="2" t="s">
        <v>156</v>
      </c>
      <c r="C70" s="3" t="s">
        <v>157</v>
      </c>
      <c r="D70" s="5" t="s">
        <v>52</v>
      </c>
      <c r="E70" s="11" t="s">
        <v>158</v>
      </c>
      <c r="F70" s="17"/>
    </row>
    <row r="71" spans="1:6" ht="33.950000000000003">
      <c r="A71" s="32"/>
      <c r="B71" s="2" t="s">
        <v>159</v>
      </c>
      <c r="C71" s="3" t="s">
        <v>160</v>
      </c>
      <c r="D71" s="5" t="s">
        <v>52</v>
      </c>
      <c r="E71" s="11" t="s">
        <v>161</v>
      </c>
      <c r="F71" s="17"/>
    </row>
    <row r="72" spans="1:6" ht="33.950000000000003">
      <c r="A72" s="32"/>
      <c r="B72" s="2" t="s">
        <v>162</v>
      </c>
      <c r="C72" s="3" t="s">
        <v>163</v>
      </c>
      <c r="D72" s="5" t="s">
        <v>52</v>
      </c>
      <c r="E72" s="11" t="s">
        <v>164</v>
      </c>
      <c r="F72" s="17"/>
    </row>
    <row r="73" spans="1:6" ht="51">
      <c r="A73" s="32"/>
      <c r="B73" s="2" t="s">
        <v>165</v>
      </c>
      <c r="C73" s="3" t="s">
        <v>166</v>
      </c>
      <c r="D73" s="5" t="s">
        <v>52</v>
      </c>
      <c r="E73" s="11" t="s">
        <v>167</v>
      </c>
      <c r="F73" s="17"/>
    </row>
    <row r="74" spans="1:6" ht="33.950000000000003">
      <c r="A74" s="32"/>
      <c r="B74" s="2" t="s">
        <v>168</v>
      </c>
      <c r="C74" s="3" t="s">
        <v>169</v>
      </c>
      <c r="D74" s="5" t="s">
        <v>52</v>
      </c>
      <c r="E74" s="21" t="s">
        <v>170</v>
      </c>
      <c r="F74" s="17"/>
    </row>
    <row r="75" spans="1:6" ht="33.950000000000003">
      <c r="A75" s="32"/>
      <c r="B75" s="2" t="s">
        <v>171</v>
      </c>
      <c r="C75" s="3" t="s">
        <v>172</v>
      </c>
      <c r="D75" s="5" t="s">
        <v>22</v>
      </c>
      <c r="E75" s="11"/>
      <c r="F75" s="17"/>
    </row>
    <row r="76" spans="1:6" ht="32.25">
      <c r="A76" s="32"/>
      <c r="B76" s="2" t="s">
        <v>173</v>
      </c>
      <c r="C76" s="3" t="s">
        <v>174</v>
      </c>
      <c r="D76" s="5" t="s">
        <v>25</v>
      </c>
      <c r="E76" s="11" t="s">
        <v>175</v>
      </c>
      <c r="F76" s="44" t="s">
        <v>176</v>
      </c>
    </row>
    <row r="77" spans="1:6" ht="33.950000000000003">
      <c r="A77" s="32"/>
      <c r="B77" s="2" t="s">
        <v>177</v>
      </c>
      <c r="C77" s="3" t="s">
        <v>178</v>
      </c>
      <c r="D77" s="5" t="s">
        <v>22</v>
      </c>
      <c r="E77" s="11"/>
      <c r="F77" s="17"/>
    </row>
    <row r="78" spans="1:6" ht="51">
      <c r="A78" s="32"/>
      <c r="B78" s="2" t="s">
        <v>179</v>
      </c>
      <c r="C78" s="3" t="s">
        <v>180</v>
      </c>
      <c r="D78" s="5" t="s">
        <v>52</v>
      </c>
      <c r="E78" s="11" t="s">
        <v>181</v>
      </c>
      <c r="F78" s="17"/>
    </row>
    <row r="79" spans="1:6" ht="51">
      <c r="A79" s="32"/>
      <c r="B79" s="2" t="s">
        <v>182</v>
      </c>
      <c r="C79" s="3" t="s">
        <v>183</v>
      </c>
      <c r="D79" s="5" t="s">
        <v>52</v>
      </c>
      <c r="E79" s="11" t="s">
        <v>184</v>
      </c>
      <c r="F79" s="17"/>
    </row>
    <row r="80" spans="1:6" ht="84.95">
      <c r="A80" s="32"/>
      <c r="B80" s="2" t="s">
        <v>185</v>
      </c>
      <c r="C80" s="3" t="s">
        <v>186</v>
      </c>
      <c r="D80" s="5" t="s">
        <v>52</v>
      </c>
      <c r="E80" s="11" t="s">
        <v>187</v>
      </c>
      <c r="F80" s="17"/>
    </row>
    <row r="81" spans="1:6" ht="138.75">
      <c r="A81" s="32"/>
      <c r="B81" s="2" t="s">
        <v>188</v>
      </c>
      <c r="C81" s="3" t="s">
        <v>189</v>
      </c>
      <c r="D81" s="5" t="s">
        <v>25</v>
      </c>
      <c r="E81" s="11" t="s">
        <v>190</v>
      </c>
      <c r="F81" s="43" t="s">
        <v>191</v>
      </c>
    </row>
    <row r="82" spans="1:6" ht="68.099999999999994">
      <c r="A82" s="32"/>
      <c r="B82" s="2" t="s">
        <v>192</v>
      </c>
      <c r="C82" s="3" t="s">
        <v>193</v>
      </c>
      <c r="D82" s="5" t="s">
        <v>52</v>
      </c>
      <c r="E82" s="11" t="s">
        <v>194</v>
      </c>
      <c r="F82" s="17"/>
    </row>
    <row r="83" spans="1:6" ht="51">
      <c r="A83" s="33"/>
      <c r="B83" s="2" t="s">
        <v>195</v>
      </c>
      <c r="C83" s="3" t="s">
        <v>196</v>
      </c>
      <c r="D83" s="5" t="s">
        <v>22</v>
      </c>
      <c r="E83" s="11"/>
      <c r="F83" s="17"/>
    </row>
    <row r="84" spans="1:6" ht="18.95">
      <c r="A84" s="34" t="s">
        <v>197</v>
      </c>
      <c r="B84" s="2" t="s">
        <v>198</v>
      </c>
      <c r="C84" s="3" t="s">
        <v>199</v>
      </c>
      <c r="D84" s="5" t="s">
        <v>22</v>
      </c>
      <c r="E84" s="11"/>
      <c r="F84" s="17"/>
    </row>
    <row r="85" spans="1:6" ht="33.950000000000003">
      <c r="A85" s="32"/>
      <c r="B85" s="2" t="s">
        <v>200</v>
      </c>
      <c r="C85" s="3" t="s">
        <v>201</v>
      </c>
      <c r="D85" s="5" t="s">
        <v>22</v>
      </c>
      <c r="E85" s="11"/>
      <c r="F85" s="17"/>
    </row>
    <row r="86" spans="1:6" ht="51">
      <c r="A86" s="32"/>
      <c r="B86" s="2" t="s">
        <v>202</v>
      </c>
      <c r="C86" s="3" t="s">
        <v>203</v>
      </c>
      <c r="D86" s="5" t="s">
        <v>22</v>
      </c>
      <c r="E86" s="11"/>
      <c r="F86" s="17"/>
    </row>
    <row r="87" spans="1:6" ht="33.950000000000003">
      <c r="A87" s="32"/>
      <c r="B87" s="2" t="s">
        <v>204</v>
      </c>
      <c r="C87" s="3" t="s">
        <v>205</v>
      </c>
      <c r="D87" s="5" t="s">
        <v>22</v>
      </c>
      <c r="E87" s="11"/>
      <c r="F87" s="17"/>
    </row>
    <row r="88" spans="1:6" ht="33.950000000000003">
      <c r="A88" s="32"/>
      <c r="B88" s="2" t="s">
        <v>206</v>
      </c>
      <c r="C88" s="3" t="s">
        <v>207</v>
      </c>
      <c r="D88" s="5" t="s">
        <v>22</v>
      </c>
      <c r="E88" s="11"/>
      <c r="F88" s="17"/>
    </row>
    <row r="89" spans="1:6" ht="33.950000000000003">
      <c r="A89" s="32"/>
      <c r="B89" s="2" t="s">
        <v>208</v>
      </c>
      <c r="C89" s="3" t="s">
        <v>209</v>
      </c>
      <c r="D89" s="5" t="s">
        <v>22</v>
      </c>
      <c r="E89" s="11"/>
      <c r="F89" s="17"/>
    </row>
    <row r="90" spans="1:6" ht="33.950000000000003">
      <c r="A90" s="32"/>
      <c r="B90" s="2" t="s">
        <v>210</v>
      </c>
      <c r="C90" s="3" t="s">
        <v>211</v>
      </c>
      <c r="D90" s="5" t="s">
        <v>22</v>
      </c>
      <c r="E90" s="11"/>
      <c r="F90" s="17"/>
    </row>
    <row r="91" spans="1:6" ht="33.950000000000003">
      <c r="A91" s="32"/>
      <c r="B91" s="2" t="s">
        <v>212</v>
      </c>
      <c r="C91" s="3" t="s">
        <v>213</v>
      </c>
      <c r="D91" s="5" t="s">
        <v>22</v>
      </c>
      <c r="E91" s="11"/>
      <c r="F91" s="17"/>
    </row>
    <row r="92" spans="1:6" ht="33.950000000000003">
      <c r="A92" s="32"/>
      <c r="B92" s="2" t="s">
        <v>214</v>
      </c>
      <c r="C92" s="3" t="s">
        <v>215</v>
      </c>
      <c r="D92" s="5" t="s">
        <v>22</v>
      </c>
      <c r="E92" s="11"/>
      <c r="F92" s="17"/>
    </row>
    <row r="93" spans="1:6" ht="33.950000000000003">
      <c r="A93" s="32"/>
      <c r="B93" s="2" t="s">
        <v>216</v>
      </c>
      <c r="C93" s="3" t="s">
        <v>217</v>
      </c>
      <c r="D93" s="5" t="s">
        <v>22</v>
      </c>
      <c r="E93" s="11"/>
      <c r="F93" s="17"/>
    </row>
    <row r="94" spans="1:6" ht="51">
      <c r="A94" s="32"/>
      <c r="B94" s="2" t="s">
        <v>218</v>
      </c>
      <c r="C94" s="3" t="s">
        <v>219</v>
      </c>
      <c r="D94" s="5" t="s">
        <v>22</v>
      </c>
      <c r="E94" s="11"/>
      <c r="F94" s="17"/>
    </row>
    <row r="95" spans="1:6" ht="84.95">
      <c r="A95" s="32"/>
      <c r="B95" s="2" t="s">
        <v>220</v>
      </c>
      <c r="C95" s="3" t="s">
        <v>221</v>
      </c>
      <c r="D95" s="5" t="s">
        <v>22</v>
      </c>
      <c r="E95" s="11"/>
      <c r="F95" s="17"/>
    </row>
    <row r="96" spans="1:6" ht="51">
      <c r="A96" s="33"/>
      <c r="B96" s="2" t="s">
        <v>222</v>
      </c>
      <c r="C96" s="3" t="s">
        <v>223</v>
      </c>
      <c r="D96" s="5" t="s">
        <v>22</v>
      </c>
      <c r="E96" s="11"/>
      <c r="F96" s="17"/>
    </row>
    <row r="97" spans="1:6" ht="33.950000000000003">
      <c r="A97" s="34" t="s">
        <v>224</v>
      </c>
      <c r="B97" s="2" t="s">
        <v>225</v>
      </c>
      <c r="C97" s="3" t="s">
        <v>226</v>
      </c>
      <c r="D97" s="5" t="s">
        <v>22</v>
      </c>
      <c r="E97" s="11"/>
      <c r="F97" s="17"/>
    </row>
    <row r="98" spans="1:6" ht="33.950000000000003">
      <c r="A98" s="32"/>
      <c r="B98" s="2" t="s">
        <v>227</v>
      </c>
      <c r="C98" s="3" t="s">
        <v>228</v>
      </c>
      <c r="D98" s="5" t="s">
        <v>22</v>
      </c>
      <c r="E98" s="11"/>
      <c r="F98" s="17"/>
    </row>
    <row r="99" spans="1:6" ht="18.95">
      <c r="A99" s="32"/>
      <c r="B99" s="2" t="s">
        <v>229</v>
      </c>
      <c r="C99" s="3" t="s">
        <v>230</v>
      </c>
      <c r="D99" s="5" t="s">
        <v>22</v>
      </c>
      <c r="E99" s="11"/>
      <c r="F99" s="17"/>
    </row>
    <row r="100" spans="1:6" ht="33.950000000000003">
      <c r="A100" s="32"/>
      <c r="B100" s="2" t="s">
        <v>231</v>
      </c>
      <c r="C100" s="3" t="s">
        <v>232</v>
      </c>
      <c r="D100" s="5" t="s">
        <v>22</v>
      </c>
      <c r="E100" s="11"/>
      <c r="F100" s="17"/>
    </row>
    <row r="101" spans="1:6" ht="33.950000000000003">
      <c r="A101" s="32"/>
      <c r="B101" s="2" t="s">
        <v>233</v>
      </c>
      <c r="C101" s="3" t="s">
        <v>234</v>
      </c>
      <c r="D101" s="5" t="s">
        <v>22</v>
      </c>
      <c r="E101" s="11"/>
      <c r="F101" s="17"/>
    </row>
    <row r="102" spans="1:6" ht="68.099999999999994">
      <c r="A102" s="32"/>
      <c r="B102" s="2" t="s">
        <v>235</v>
      </c>
      <c r="C102" s="3" t="s">
        <v>236</v>
      </c>
      <c r="D102" s="5" t="s">
        <v>22</v>
      </c>
      <c r="E102" s="11"/>
      <c r="F102" s="17"/>
    </row>
    <row r="103" spans="1:6" ht="33.950000000000003">
      <c r="A103" s="32"/>
      <c r="B103" s="2" t="s">
        <v>237</v>
      </c>
      <c r="C103" s="3" t="s">
        <v>238</v>
      </c>
      <c r="D103" s="5" t="s">
        <v>22</v>
      </c>
      <c r="E103" s="11"/>
      <c r="F103" s="17"/>
    </row>
    <row r="104" spans="1:6" ht="61.5">
      <c r="A104" s="32"/>
      <c r="B104" s="2" t="s">
        <v>239</v>
      </c>
      <c r="C104" s="3" t="s">
        <v>240</v>
      </c>
      <c r="D104" s="5" t="s">
        <v>25</v>
      </c>
      <c r="E104" s="11" t="s">
        <v>241</v>
      </c>
      <c r="F104" s="43" t="s">
        <v>242</v>
      </c>
    </row>
    <row r="105" spans="1:6" ht="33.950000000000003">
      <c r="A105" s="32"/>
      <c r="B105" s="2" t="s">
        <v>243</v>
      </c>
      <c r="C105" s="3" t="s">
        <v>244</v>
      </c>
      <c r="D105" s="5" t="s">
        <v>52</v>
      </c>
      <c r="E105" s="11" t="s">
        <v>245</v>
      </c>
      <c r="F105" s="17"/>
    </row>
    <row r="106" spans="1:6" ht="51">
      <c r="A106" s="32"/>
      <c r="B106" s="2" t="s">
        <v>246</v>
      </c>
      <c r="C106" s="3" t="s">
        <v>247</v>
      </c>
      <c r="D106" s="5" t="s">
        <v>22</v>
      </c>
      <c r="E106" s="11"/>
      <c r="F106" s="17"/>
    </row>
    <row r="107" spans="1:6" ht="51">
      <c r="A107" s="33"/>
      <c r="B107" s="2" t="s">
        <v>248</v>
      </c>
      <c r="C107" s="3" t="s">
        <v>249</v>
      </c>
      <c r="D107" s="5" t="s">
        <v>52</v>
      </c>
      <c r="E107" s="11" t="s">
        <v>250</v>
      </c>
      <c r="F107" s="17"/>
    </row>
    <row r="108" spans="1:6" ht="33.950000000000003">
      <c r="A108" s="34" t="s">
        <v>251</v>
      </c>
      <c r="B108" s="2" t="s">
        <v>252</v>
      </c>
      <c r="C108" s="3" t="s">
        <v>253</v>
      </c>
      <c r="D108" s="5" t="s">
        <v>22</v>
      </c>
      <c r="E108" s="11"/>
      <c r="F108" s="17"/>
    </row>
    <row r="109" spans="1:6" ht="51">
      <c r="A109" s="32"/>
      <c r="B109" s="2" t="s">
        <v>254</v>
      </c>
      <c r="C109" s="3" t="s">
        <v>255</v>
      </c>
      <c r="D109" s="5" t="s">
        <v>22</v>
      </c>
      <c r="E109" s="11"/>
      <c r="F109" s="17"/>
    </row>
    <row r="110" spans="1:6" ht="51">
      <c r="A110" s="32"/>
      <c r="B110" s="2" t="s">
        <v>256</v>
      </c>
      <c r="C110" s="3" t="s">
        <v>257</v>
      </c>
      <c r="D110" s="5" t="s">
        <v>22</v>
      </c>
      <c r="E110" s="11"/>
      <c r="F110" s="17"/>
    </row>
    <row r="111" spans="1:6" ht="33.950000000000003">
      <c r="A111" s="32"/>
      <c r="B111" s="2" t="s">
        <v>258</v>
      </c>
      <c r="C111" s="3" t="s">
        <v>259</v>
      </c>
      <c r="D111" s="5" t="s">
        <v>22</v>
      </c>
      <c r="E111" s="11"/>
      <c r="F111" s="17"/>
    </row>
    <row r="112" spans="1:6" ht="33.950000000000003">
      <c r="A112" s="32"/>
      <c r="B112" s="2" t="s">
        <v>260</v>
      </c>
      <c r="C112" s="3" t="s">
        <v>261</v>
      </c>
      <c r="D112" s="5" t="s">
        <v>22</v>
      </c>
      <c r="E112" s="11"/>
      <c r="F112" s="17"/>
    </row>
    <row r="113" spans="1:6" ht="51">
      <c r="A113" s="32"/>
      <c r="B113" s="2" t="s">
        <v>262</v>
      </c>
      <c r="C113" s="3" t="s">
        <v>263</v>
      </c>
      <c r="D113" s="5" t="s">
        <v>22</v>
      </c>
      <c r="E113" s="11"/>
      <c r="F113" s="17"/>
    </row>
    <row r="114" spans="1:6" ht="33.950000000000003">
      <c r="A114" s="32"/>
      <c r="B114" s="2" t="s">
        <v>264</v>
      </c>
      <c r="C114" s="3" t="s">
        <v>265</v>
      </c>
      <c r="D114" s="5" t="s">
        <v>22</v>
      </c>
      <c r="E114" s="11"/>
      <c r="F114" s="17"/>
    </row>
    <row r="115" spans="1:6" ht="33.950000000000003">
      <c r="A115" s="32"/>
      <c r="B115" s="2" t="s">
        <v>266</v>
      </c>
      <c r="C115" s="3" t="s">
        <v>267</v>
      </c>
      <c r="D115" s="5" t="s">
        <v>22</v>
      </c>
      <c r="E115" s="11"/>
      <c r="F115" s="17"/>
    </row>
    <row r="116" spans="1:6" ht="51">
      <c r="A116" s="32"/>
      <c r="B116" s="2" t="s">
        <v>268</v>
      </c>
      <c r="C116" s="3" t="s">
        <v>269</v>
      </c>
      <c r="D116" s="5" t="s">
        <v>22</v>
      </c>
      <c r="E116" s="11"/>
      <c r="F116" s="17"/>
    </row>
    <row r="117" spans="1:6" ht="51">
      <c r="A117" s="32"/>
      <c r="B117" s="2" t="s">
        <v>270</v>
      </c>
      <c r="C117" s="3" t="s">
        <v>271</v>
      </c>
      <c r="D117" s="5" t="s">
        <v>22</v>
      </c>
      <c r="E117" s="11"/>
      <c r="F117" s="17"/>
    </row>
    <row r="118" spans="1:6" ht="51">
      <c r="A118" s="32"/>
      <c r="B118" s="2" t="s">
        <v>272</v>
      </c>
      <c r="C118" s="3" t="s">
        <v>273</v>
      </c>
      <c r="D118" s="5" t="s">
        <v>22</v>
      </c>
      <c r="E118" s="11"/>
      <c r="F118" s="17"/>
    </row>
    <row r="119" spans="1:6" ht="51">
      <c r="A119" s="33"/>
      <c r="B119" s="2" t="s">
        <v>274</v>
      </c>
      <c r="C119" s="3" t="s">
        <v>275</v>
      </c>
      <c r="D119" s="5" t="s">
        <v>22</v>
      </c>
      <c r="E119" s="11"/>
      <c r="F119" s="17"/>
    </row>
    <row r="123" spans="1:6">
      <c r="A123" s="41" t="s">
        <v>276</v>
      </c>
      <c r="B123" s="41"/>
      <c r="C123" s="41"/>
      <c r="D123" s="41"/>
      <c r="E123" s="10" t="s">
        <v>277</v>
      </c>
    </row>
    <row r="124" spans="1:6" ht="104.1" customHeight="1">
      <c r="A124" s="42" t="s">
        <v>278</v>
      </c>
      <c r="B124" s="42"/>
      <c r="C124" s="42"/>
      <c r="D124" s="42"/>
      <c r="E124" s="12" t="s">
        <v>279</v>
      </c>
    </row>
    <row r="125" spans="1:6" ht="294.95" customHeight="1">
      <c r="A125" s="38" t="s">
        <v>280</v>
      </c>
      <c r="B125" s="39"/>
      <c r="C125" s="39"/>
      <c r="D125" s="40"/>
      <c r="E125" s="12" t="s">
        <v>279</v>
      </c>
    </row>
    <row r="126" spans="1:6" ht="120" customHeight="1">
      <c r="A126" s="38" t="s">
        <v>281</v>
      </c>
      <c r="B126" s="39"/>
      <c r="C126" s="39"/>
      <c r="D126" s="40"/>
      <c r="E126" s="12" t="s">
        <v>279</v>
      </c>
    </row>
    <row r="127" spans="1:6">
      <c r="A127" s="35"/>
      <c r="B127" s="36"/>
      <c r="C127" s="36"/>
      <c r="D127" s="37"/>
      <c r="E127" s="15"/>
    </row>
  </sheetData>
  <mergeCells count="29">
    <mergeCell ref="A28:A40"/>
    <mergeCell ref="A11:C11"/>
    <mergeCell ref="A127:D127"/>
    <mergeCell ref="A125:D125"/>
    <mergeCell ref="A126:D126"/>
    <mergeCell ref="A41:A48"/>
    <mergeCell ref="A123:D123"/>
    <mergeCell ref="A124:D124"/>
    <mergeCell ref="A97:A107"/>
    <mergeCell ref="A108:A119"/>
    <mergeCell ref="A49:A50"/>
    <mergeCell ref="A51:A55"/>
    <mergeCell ref="A56:A65"/>
    <mergeCell ref="A66:A69"/>
    <mergeCell ref="A70:A83"/>
    <mergeCell ref="A84:A96"/>
    <mergeCell ref="A10:C10"/>
    <mergeCell ref="A7:C7"/>
    <mergeCell ref="A14:A22"/>
    <mergeCell ref="A23:A24"/>
    <mergeCell ref="A25:A27"/>
    <mergeCell ref="A1:D1"/>
    <mergeCell ref="A5:C5"/>
    <mergeCell ref="A6:C6"/>
    <mergeCell ref="A8:C8"/>
    <mergeCell ref="A9:C9"/>
    <mergeCell ref="A3:C3"/>
    <mergeCell ref="A4:C4"/>
    <mergeCell ref="A2:C2"/>
  </mergeCells>
  <conditionalFormatting sqref="D14:E69 D75:E79 D70:D74 D82:E119 D80:D81">
    <cfRule type="expression" dxfId="11" priority="9">
      <formula>$D14="Non testé"</formula>
    </cfRule>
    <cfRule type="expression" dxfId="10" priority="10">
      <formula>$D14="Dérogé"</formula>
    </cfRule>
    <cfRule type="expression" dxfId="9" priority="11">
      <formula>$D14="Conforme"</formula>
    </cfRule>
    <cfRule type="expression" dxfId="8" priority="12">
      <formula>$D14="Non conforme"</formula>
    </cfRule>
  </conditionalFormatting>
  <conditionalFormatting sqref="E70:E73">
    <cfRule type="expression" dxfId="7" priority="5">
      <formula>$D70="Non testé"</formula>
    </cfRule>
    <cfRule type="expression" dxfId="6" priority="6">
      <formula>$D70="Dérogé"</formula>
    </cfRule>
    <cfRule type="expression" dxfId="5" priority="7">
      <formula>$D70="Conforme"</formula>
    </cfRule>
    <cfRule type="expression" dxfId="4" priority="8">
      <formula>$D70="Non conforme"</formula>
    </cfRule>
  </conditionalFormatting>
  <conditionalFormatting sqref="E80:E81">
    <cfRule type="expression" dxfId="3" priority="1">
      <formula>$D80="Non testé"</formula>
    </cfRule>
    <cfRule type="expression" dxfId="2" priority="2">
      <formula>$D80="Dérogé"</formula>
    </cfRule>
    <cfRule type="expression" dxfId="1" priority="3">
      <formula>$D80="Conforme"</formula>
    </cfRule>
    <cfRule type="expression" dxfId="0" priority="4">
      <formula>$D80="Non conforme"</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00000000-0002-0000-0200-000001000000}"/>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2025-08-01T16:14:44Z</dcterms:modified>
  <cp:category/>
  <cp:contentStatus/>
</cp:coreProperties>
</file>
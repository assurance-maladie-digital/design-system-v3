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174519EF-EE61-6E43-9C70-1F0B9E7C9E07}" xr6:coauthVersionLast="47" xr6:coauthVersionMax="47" xr10:uidLastSave="{00000000-0000-0000-0000-000000000000}"/>
  <bookViews>
    <workbookView xWindow="3620" yWindow="1440" windowWidth="44720" windowHeight="25640" activeTab="1" xr2:uid="{00000000-000D-0000-FFFF-FFFF00000000}"/>
  </bookViews>
  <sheets>
    <sheet name="SySelect Audit V1" sheetId="1" r:id="rId1"/>
    <sheet name="SySelect Audit V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D8" i="2"/>
  <c r="D7" i="2"/>
  <c r="D6" i="2"/>
  <c r="D5" i="2"/>
  <c r="D9" i="1"/>
  <c r="D8" i="1"/>
  <c r="D7" i="1"/>
  <c r="D6" i="1"/>
  <c r="D5" i="1"/>
  <c r="D10" i="2" l="1"/>
  <c r="D11" i="2" s="1"/>
  <c r="D10" i="1"/>
  <c r="D11" i="1" s="1"/>
</calcChain>
</file>

<file path=xl/sharedStrings.xml><?xml version="1.0" encoding="utf-8"?>
<sst xmlns="http://schemas.openxmlformats.org/spreadsheetml/2006/main" count="788" uniqueCount="303">
  <si>
    <t>Composant : SySelect</t>
  </si>
  <si>
    <t>Audit</t>
  </si>
  <si>
    <t>Audit V1</t>
  </si>
  <si>
    <t>Date</t>
  </si>
  <si>
    <t>Version</t>
  </si>
  <si>
    <t>0.0.15-alpha</t>
  </si>
  <si>
    <t>v1.0.3</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</si>
  <si>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</si>
  <si>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</si>
  <si>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</si>
  <si>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</si>
  <si>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</si>
  <si>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</si>
  <si>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</si>
  <si>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</si>
  <si>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</si>
  <si>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</si>
  <si>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</si>
  <si>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</si>
  <si>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</si>
  <si>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</si>
  <si>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</si>
  <si>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</si>
  <si>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</si>
  <si>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</si>
  <si>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</si>
  <si>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</si>
  <si>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icônes du composants ne portent aucune information. Cependant, bien qu'elles possèdent un attribut aria-hidden="true", il ne faut pas que l'élément possède le role "img".</t>
  </si>
  <si>
    <r>
      <rPr>
        <sz val="12"/>
        <color theme="1"/>
        <rFont val="Arial"/>
        <family val="2"/>
      </rPr>
      <t xml:space="preserve">Corriger par la Pr: </t>
    </r>
    <r>
      <rPr>
        <u/>
        <sz val="12"/>
        <color rgb="FF1155CC"/>
        <rFont val="Arial"/>
        <family val="2"/>
      </rPr>
      <t>https://github.com/assurance-maladie-digital/design-system-v3/pull/768</t>
    </r>
    <r>
      <rPr>
        <sz val="12"/>
        <color theme="1"/>
        <rFont val="Arial"/>
        <family val="2"/>
      </rPr>
      <t xml:space="preserve"> v1.0.3</t>
    </r>
  </si>
  <si>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</si>
  <si>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</si>
  <si>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</si>
  <si>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</si>
  <si>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</si>
  <si>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</si>
  <si>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</si>
  <si>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</si>
  <si>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</si>
  <si>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</si>
  <si>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</si>
  <si>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</si>
  <si>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</si>
  <si>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</si>
  <si>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</si>
  <si>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</si>
  <si>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</si>
  <si>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</si>
  <si>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</si>
  <si>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</si>
  <si>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</si>
  <si>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</si>
  <si>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</si>
  <si>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</si>
  <si>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</si>
  <si>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 xml:space="preserve">Default : contour gris foncé, texte gris foncé 14px =&gt; ratio contraste 5,45
Error : contour rouge, texte rouge 14px =&gt; ratio contraste 4,83
Depend de la contribution =&gt; le fond du combobox étant transparent, le contributeur doit veiller à ce que l'arrière plan contigü possède un contraste suffisant avec la couleur du texte et de l'icône.
</t>
  </si>
  <si>
    <t>3.3</t>
  </si>
  <si>
    <t>Dans chaque page web, les couleurs utilisées dans les composants d’interface ou les éléments graphiques porteurs d’informations sont-elles suffisamment contrastées (hors cas particuliers) ?</t>
  </si>
  <si>
    <t>Depend de la contribution =&gt; le fond du combobox étant transparent, le contributeur doit veiller à ce que l'arrière plan contigü possède un contraste suffisant avec la couleur du texte et de l'icône.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</si>
  <si>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</si>
  <si>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</si>
  <si>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</si>
  <si>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</si>
  <si>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</si>
  <si>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</si>
  <si>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</si>
  <si>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</si>
  <si>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</si>
  <si>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</si>
  <si>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</si>
  <si>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</si>
  <si>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</si>
  <si>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</si>
  <si>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</si>
  <si>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</si>
  <si>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</si>
  <si>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</si>
  <si>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</si>
  <si>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</si>
  <si>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</si>
  <si>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</si>
  <si>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</si>
  <si>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</si>
  <si>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</si>
  <si>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</si>
  <si>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</si>
  <si>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</si>
  <si>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</si>
  <si>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</si>
  <si>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</si>
  <si>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</si>
  <si>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</si>
  <si>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</si>
  <si>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</si>
  <si>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</si>
  <si>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</si>
  <si>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</si>
  <si>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</si>
  <si>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</si>
  <si>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</si>
  <si>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</si>
  <si>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</si>
  <si>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</si>
  <si>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</si>
  <si>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</si>
  <si>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</si>
  <si>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</si>
  <si>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</si>
  <si>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</si>
  <si>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</si>
  <si>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</si>
  <si>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L'élément est un "select only" combobox. Autrement dit, le champ doit posséder le role="combobox". Il peut s'agit d'une simple div avec tabindex="0" ou d'un input type text (voir pattern W3C Combobox Select Only + exemple MDN).
Manque d’attributs ARIA nécessaires :
    - sur le combobox : aria-expanded, aria-controls, aria-autocomplete="list", aria-activedescendant et aria-haspopup="listbox"
    - sur le menu : aria-label (ou aria-labelledby si référence existante)
- Sur Firefox, le curseur de texte indiquant que le renseignement de texte est possible est présent =&gt; à supprimer comme sur Chrome.
- Le curseur de sélection de texte (I cursor) est toujours présent alors que le remplissage du texte n'est pas autorisé. Dans ce cas le curseur devrait être un pointeur =&gt; cursor: pointer;</t>
  </si>
  <si>
    <t>7.2</t>
  </si>
  <si>
    <t>Pour chaque script ayant une alternative, cette alternative est-elle pertinente ?</t>
  </si>
  <si>
    <t>7.3</t>
  </si>
  <si>
    <t>Chaque script est-il contrôlable par le clavier et par tout dispositif de pointage (hors cas particuliers) ?</t>
  </si>
  <si>
    <t>Seules les touches Entrée, Espace et Echap fonctionnent selon le pattern. Revoir le pattern pour répondre à l'ensemble de la spécification.
Autre problème : Après focus sur le champ combobox, nécessité de faire Tabulation pour accéder au sous-menu (puis utilisation possible des touches Flèche Haut/Bas pour sélectionner les items)</t>
  </si>
  <si>
    <r>
      <rPr>
        <sz val="12"/>
        <color theme="1"/>
        <rFont val="Arial"/>
        <family val="2"/>
      </rPr>
      <t xml:space="preserve">Application du pattern select-only: </t>
    </r>
    <r>
      <rPr>
        <u/>
        <sz val="12"/>
        <color rgb="FF1155CC"/>
        <rFont val="Arial"/>
        <family val="2"/>
      </rPr>
      <t>https://www.w3.org/WAI/ARIA/apg/patterns/combobox/examples/combobox-select-only/</t>
    </r>
    <r>
      <rPr>
        <sz val="12"/>
        <color theme="1"/>
        <rFont val="Arial"/>
        <family val="2"/>
      </rPr>
      <t xml:space="preserve"> v1.0.3</t>
    </r>
  </si>
  <si>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</si>
  <si>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</si>
  <si>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</si>
  <si>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</si>
  <si>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</si>
  <si>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</si>
  <si>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</si>
  <si>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</si>
  <si>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</si>
  <si>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Error: Attribute display-asterisk not allowed on element input at this point.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</si>
  <si>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</si>
  <si>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</si>
  <si>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</si>
  <si>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</si>
  <si>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</si>
  <si>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</si>
  <si>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</si>
  <si>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</si>
  <si>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</si>
  <si>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</si>
  <si>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</si>
  <si>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</si>
  <si>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</si>
  <si>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</si>
  <si>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</si>
  <si>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</si>
  <si>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</si>
  <si>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</si>
  <si>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</si>
  <si>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</si>
  <si>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</si>
  <si>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</si>
  <si>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</si>
  <si>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La liste du sous-menu est bien présenté sous la forme listbox/option</t>
  </si>
  <si>
    <t>9.4</t>
  </si>
  <si>
    <t>Dans chaque page web, chaque citation est-elle correctement indiquée ?</t>
  </si>
  <si>
    <t>PRÉSENTATION</t>
  </si>
  <si>
    <t>Dans le site web, des feuilles de styles sont-elles utilisées pour contrôler la présentation de l’information ?</t>
  </si>
  <si>
    <t xml:space="preserve">Le champ input possède un attribut size="1" non autorisé par ce critère =&gt; l'élément HTML est un input et non un select donc l'exception évoqué dans le critère ne s'applique pas ici.
</t>
  </si>
  <si>
    <t xml:space="preserve">
v1.0.3</t>
  </si>
  <si>
    <t>10.2</t>
  </si>
  <si>
    <t>Dans chaque page web, le contenu visible porteur d’information reste-t-il présent lorsque les feuilles de styles sont désactivées ?</t>
  </si>
  <si>
    <t>Visibilité du champ, de l'icône et des suggestions.</t>
  </si>
  <si>
    <t>10.3</t>
  </si>
  <si>
    <t>Dans chaque page web, l’information reste-t-elle compréhensible lorsque les feuilles de styles sont désactivées ?</t>
  </si>
  <si>
    <t>L'ordre dans lequel le contenu est implémenté ne pose pas de problème de compréhension.</t>
  </si>
  <si>
    <t>10.4</t>
  </si>
  <si>
    <t>Dans chaque page web, le texte reste-t-il lisible lorsque la taille des caractères est augmentée jusqu’à 200%, au moins (hors cas particuliers) ?</t>
  </si>
  <si>
    <t>Bonne lisibilité, testé en zoom 200% écran et "text only"</t>
  </si>
  <si>
    <t>10.5</t>
  </si>
  <si>
    <t>Dans chaque page web, les déclarations CSS de couleurs de fond d’élément et de police sont-elles correctement utilisées ?</t>
  </si>
  <si>
    <t>Le composant n'intègre pas de fond. C'est au contributeur de s'assurer qu'un composant parent possède bien un couleur et que le niveau de contraste est suffisant (testé avec les fonds par défaut blanc/noir pour les critères 3.x)</t>
  </si>
  <si>
    <t>10.6</t>
  </si>
  <si>
    <t>Dans chaque page web, chaque lien dont la nature n’est pas évidente est-il visible par rapport au texte environnant ?</t>
  </si>
  <si>
    <t>10.7</t>
  </si>
  <si>
    <t>Dans chaque page web, pour chaque élément recevant le focus, la prise de focus est-elle visible ?</t>
  </si>
  <si>
    <t>Présence d'un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</si>
  <si>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</si>
  <si>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</si>
  <si>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</si>
  <si>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</si>
  <si>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</si>
  <si>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</si>
  <si>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</si>
  <si>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</si>
  <si>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 xml:space="preserve">Le contenu s’adapte correctement à une fenêtre de 320px de largeur sans nécessiter de défilement horizontal.
Le contenu reste accessible dans une fenêtre de 256px de hauteur, avec un défilement vertical si nécessaire, ce qui est acceptable selon le critère.  </t>
  </si>
  <si>
    <t>10.12</t>
  </si>
  <si>
    <t>Dans chaque page web, les propriétés d’espacement du texte peuvent-elles être redéfinies par l’utilisateur sans perte de contenu ou de fonctionnalité (hors cas particuliers) ?</t>
  </si>
  <si>
    <t>Testé avec Assistant RGAA :
*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</si>
  <si>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</si>
  <si>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</si>
  <si>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Le menu peut :
- être caché via la touche Echap et reste visible tant que cette action n'a pas été déclenchée
- être survolé par la souris sans disparaître</t>
  </si>
  <si>
    <t>10.14</t>
  </si>
  <si>
    <t>Dans chaque page web, les contenus additionnels apparaissant via les styles CSS uniquement peuvent-ils être rendus visibles au clavier et par tout dispositif de pointage ?</t>
  </si>
  <si>
    <t>Le sous-menu peut apparaître en utilisant les touches suivantes : Espace ou Entrée</t>
  </si>
  <si>
    <t>FORMULAIRES</t>
  </si>
  <si>
    <t>11.1</t>
  </si>
  <si>
    <t>Chaque champ de formulaire a-t-il une étiquette ?</t>
  </si>
  <si>
    <t>Le champ possède 2 implémentations d'une étiquette : attribut for relié avec l'id du combobox + aria-label.
Le aria-label est en trop mais cela ne constitue pas une non-conformité, sachant que les deux implémentations possèdent exactement la même valeur.</t>
  </si>
  <si>
    <t>11.2</t>
  </si>
  <si>
    <t>Chaque étiquette associée à un champ de formulaire est-elle pertinente (hors cas particuliers) ?</t>
  </si>
  <si>
    <t>La pertinence de l'étiquette est portée par le contributeur</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</si>
  <si>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</si>
  <si>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</si>
  <si>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</si>
  <si>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</si>
  <si>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L’étiquette visible est positionnée immédiatement au-dessus du champ de sélection lors du focus. Sa présence à l'intérieur du champ dans le cas où le focus n'est pas donné ne constitue pas une non-conformité.</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</si>
  <si>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</si>
  <si>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</si>
  <si>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</si>
  <si>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</si>
  <si>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</si>
  <si>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</si>
  <si>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</si>
  <si>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</si>
  <si>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Le composant n'utilise pas la balise select. Il s'agit d'un composant d'interface customisé, nous nous baserons donc sur les recommandations du W3C du pattern "Combobox".</t>
  </si>
  <si>
    <t>11.9</t>
  </si>
  <si>
    <t>Dans chaque formulaire, l’intitulé de chaque bouton est-il pertinent (hors cas particuliers) ?</t>
  </si>
  <si>
    <t>Dans chaque formulaire, le contrôle de saisie est-il utilisé de manière pertinente (hors cas particuliers) ?</t>
  </si>
  <si>
    <t>- Pas de balise aria-required="true" ou required sur l'input lorsque le champ est obligatoire
- Pas de balise aria-invalid="true" sur l'input lorsque le champ est en erreur
- Aucune possibilité de renseigner une aide à la saisie ou indication sur le type de donnée attendu</t>
  </si>
  <si>
    <t>11.11</t>
  </si>
  <si>
    <t>Dans chaque formulaire, le contrôle de saisie est-il accompagné, si nécessaire, de suggestions facilitant la correction des erreurs de saisie ?</t>
  </si>
  <si>
    <t xml:space="preserve">Conformité à respecter par le contributeur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</si>
  <si>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</si>
  <si>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</si>
  <si>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</si>
  <si>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</si>
  <si>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Aucune propriété aria-autocomplete="list" n'existe sur le champ combobox. Dans le cas de ce composant, c'est la liste de suggestion qu'il faut toujours considérer et non la propriété "autocomplete" native.</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</si>
  <si>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</si>
  <si>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</si>
  <si>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</si>
  <si>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</si>
  <si>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</si>
  <si>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</si>
  <si>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</si>
  <si>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</si>
  <si>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</si>
  <si>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</si>
  <si>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</si>
  <si>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</si>
  <si>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</si>
  <si>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</si>
  <si>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</si>
  <si>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</si>
  <si>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</si>
  <si>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</si>
  <si>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</si>
  <si>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 xml:space="preserve">Aucun piège au clavier détecté malgré la non-conformité des touches à activer pour utiliser le menu (voir 7.3)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</si>
  <si>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</si>
  <si>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</si>
  <si>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</si>
  <si>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</si>
  <si>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</si>
  <si>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</si>
  <si>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</si>
  <si>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</si>
  <si>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</si>
  <si>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</si>
  <si>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</si>
  <si>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</si>
  <si>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</si>
  <si>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</si>
  <si>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</si>
  <si>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</si>
  <si>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</si>
  <si>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</si>
  <si>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</si>
  <si>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</si>
  <si>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</si>
  <si>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</si>
  <si>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</si>
  <si>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</si>
  <si>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</si>
  <si>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</si>
  <si>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</si>
  <si>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</si>
  <si>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</si>
  <si>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</si>
  <si>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</si>
  <si>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Utiliser la balise &lt;label&gt; ainsi que les attributs for et id pour étiqueter les champs avec intitulé visible</t>
  </si>
  <si>
    <t>https://www.accede-web.com/notices/html-et-css/formulaires/utiliser-la-balise-label-ainsi-que-les-attributs-for-et-id-pour-etiqueter-les-champs-avec-intitule-visible/</t>
  </si>
  <si>
    <t>Utiliser title pour étiqueter les champs sans intitulé visible</t>
  </si>
  <si>
    <t>https://www.accede-web.com/notices/html-et-css/formulaires/utiliser-title-pour-etiqueter-les-champs-sans-intitule-visible/</t>
  </si>
  <si>
    <t>Intégrer required ou aria-required="true" dans les champs obligatoires</t>
  </si>
  <si>
    <t>https://www.accede-web.com/notices/html-et-css/formulaires/integrer-required-ou-aria-requiredtrue-dans-les-champs-obligatoires/</t>
  </si>
  <si>
    <t>Aucune gestion n'est prévue en ce qui concerne le curseur d'édition car l'input text n'est pas censé être selectionnable. Donc le pattern assimilable est le combobox "select only"
Les règles en matière de gestion clavier sont :
    - Entrée/Espace :  Ouvre  la liste déroulante sans déplacer le focus ni modifier la valeur du champ / Ferme la liste déroulante + définit le focus visuel sur le combobox + valide la valeur du champ depuis l'option cible
    - Echap : Ferme la liste déroulante
    - Flèche Haut/Bas :  Ouvre d'abord la liste déroulante si elle n'est pas affichée puis déplace le focus visuel vers l'item sélectionné ou le premier item / Déplacement sur les options avec blocage visuel si première ou dernière option (pas de "roulement")
    - Home/End : Ouvre la liste déroulante si elle n'est pas affichée puis déplace le focus visuel sur la première/dernière option
    - Caractères imprimables : Ouvre d'abord la liste déroulante si elle n'est pas affichée puis déplace le focus visuel vers la première option qui correspond au caractère choisi. Si plusieurs touches sont saisies rapidement successivement, le focus visuel se déplace vers la première option qui correspond à la chaîne complète. Si le même caractère est saisi successivement, le focus visuel parcourt les options commençant par ce caractère.
    - PageUp/Down (fn + Flèche Haut/Bas) : Déplace le focus sur la 10ème option en amont/aval sur l'option actuelle (ou jusqu'à la première/dernière option si &lt;= 10)
    - Alt + Flèche Haut : Définit la valeur de la dernière option ciblée / Ferme la liste déroulante / Déplace le focus sur l'input
    - Tab : Définit la valeur de la dernière option ciblée / Ferme la liste déroulante / Déplace le focus sur le composant suivant selon l'ordre de tabulation prévu par la page</t>
  </si>
  <si>
    <t>- https://www.w3.org/WAI/ARIA/apg/patterns/combobox/examples/combobox-select-only/
- https://developer.mozilla.org/en-US/docs/Web/Accessibility/ARIA/Reference/Roles/combobox_role#examples</t>
  </si>
  <si>
    <t>Le champ combobox doit posséder les attributs :
    - role="combobox"
    - aria-controls (pour lier au menu)
    - aria-expanded (true ou false selon si le menu est ouvert ou non)
    - id (pour référence au for) ou un aria-label/aria-labelledby
    - aria-activedescendant
    - aria-autocomplete="list"
    - aria-haspopup="listbox"</t>
  </si>
  <si>
    <t>Le menu doit est sous forme ul/li et posséder les attributs :
    - aria-label ou aria-labelledby (reprendre le nom accessible du combobox)
    - aria-selected (sur un item)</t>
  </si>
  <si>
    <t>1.0.3</t>
  </si>
  <si>
    <r>
      <rPr>
        <b/>
        <u/>
        <sz val="12"/>
        <color theme="1"/>
        <rFont val="Arial"/>
        <family val="2"/>
      </rPr>
      <t>Points positifs :</t>
    </r>
    <r>
      <rPr>
        <sz val="12"/>
        <color theme="1"/>
        <rFont val="Arial"/>
        <family val="2"/>
      </rPr>
      <t xml:space="preserve">
</t>
    </r>
    <r>
      <rPr>
        <b/>
        <sz val="12"/>
        <color theme="1"/>
        <rFont val="Arial"/>
        <family val="2"/>
      </rPr>
      <t>- Focus select</t>
    </r>
    <r>
      <rPr>
        <sz val="12"/>
        <color theme="1"/>
        <rFont val="Arial"/>
        <family val="2"/>
      </rPr>
      <t xml:space="preserve">
    - </t>
    </r>
    <r>
      <rPr>
        <u/>
        <sz val="12"/>
        <color theme="1"/>
        <rFont val="Arial"/>
        <family val="2"/>
      </rPr>
      <t>Entrée/Espace :</t>
    </r>
    <r>
      <rPr>
        <sz val="12"/>
        <color theme="1"/>
        <rFont val="Arial"/>
        <family val="2"/>
      </rPr>
      <t xml:space="preserve"> ouvre le sous-menu
</t>
    </r>
    <r>
      <rPr>
        <b/>
        <sz val="12"/>
        <color theme="1"/>
        <rFont val="Arial"/>
        <family val="2"/>
      </rPr>
      <t>- Sous-menu :</t>
    </r>
    <r>
      <rPr>
        <sz val="12"/>
        <color theme="1"/>
        <rFont val="Arial"/>
        <family val="2"/>
      </rPr>
      <t xml:space="preserve">
    - </t>
    </r>
    <r>
      <rPr>
        <u/>
        <sz val="12"/>
        <color theme="1"/>
        <rFont val="Arial"/>
        <family val="2"/>
      </rPr>
      <t>Entrée/Espace :</t>
    </r>
    <r>
      <rPr>
        <sz val="12"/>
        <color theme="1"/>
        <rFont val="Arial"/>
        <family val="2"/>
      </rPr>
      <t xml:space="preserve"> Définit la valeur, ferme la liste déroulante (si select classique) et focus sur le select
    - </t>
    </r>
    <r>
      <rPr>
        <u/>
        <sz val="12"/>
        <color theme="1"/>
        <rFont val="Arial"/>
        <family val="2"/>
      </rPr>
      <t>Flèche Haut/Bas :</t>
    </r>
    <r>
      <rPr>
        <sz val="12"/>
        <color theme="1"/>
        <rFont val="Arial"/>
        <family val="2"/>
      </rPr>
      <t xml:space="preserve"> Navigation entre les items (attention, un point spécifique est faux sur "Flèche Haut" =&gt; voir dans les points négatifs)
    - </t>
    </r>
    <r>
      <rPr>
        <u/>
        <sz val="12"/>
        <color theme="1"/>
        <rFont val="Arial"/>
        <family val="2"/>
      </rPr>
      <t>Caractères imprimables :</t>
    </r>
    <r>
      <rPr>
        <sz val="12"/>
        <color theme="1"/>
        <rFont val="Arial"/>
        <family val="2"/>
      </rPr>
      <t xml:space="preserve"> Déplace le focus vers la première option correspondant à la chaîne
</t>
    </r>
    <r>
      <rPr>
        <b/>
        <u/>
        <sz val="12"/>
        <color theme="1"/>
        <rFont val="Arial"/>
        <family val="2"/>
      </rPr>
      <t>Points négatifs :</t>
    </r>
    <r>
      <rPr>
        <sz val="12"/>
        <color theme="1"/>
        <rFont val="Arial"/>
        <family val="2"/>
      </rPr>
      <t xml:space="preserve">
</t>
    </r>
    <r>
      <rPr>
        <b/>
        <sz val="12"/>
        <color theme="1"/>
        <rFont val="Arial"/>
        <family val="2"/>
      </rPr>
      <t>- Focus select</t>
    </r>
    <r>
      <rPr>
        <sz val="12"/>
        <color theme="1"/>
        <rFont val="Arial"/>
        <family val="2"/>
      </rPr>
      <t xml:space="preserve">
    - </t>
    </r>
    <r>
      <rPr>
        <u/>
        <sz val="12"/>
        <color theme="1"/>
        <rFont val="Arial"/>
        <family val="2"/>
      </rPr>
      <t>Flèche Haut :</t>
    </r>
    <r>
      <rPr>
        <sz val="12"/>
        <color theme="1"/>
        <rFont val="Arial"/>
        <family val="2"/>
      </rPr>
      <t xml:space="preserve"> Ouvre la liste déroulante et redirige vers le dernier item au lieu du premier
    - </t>
    </r>
    <r>
      <rPr>
        <u/>
        <sz val="12"/>
        <color theme="1"/>
        <rFont val="Arial"/>
        <family val="2"/>
      </rPr>
      <t>Flèche Bas :</t>
    </r>
    <r>
      <rPr>
        <sz val="12"/>
        <color theme="1"/>
        <rFont val="Arial"/>
        <family val="2"/>
      </rPr>
      <t xml:space="preserve"> Ouvre la liste déroulante et redirige vers le premier item alors qu'il devrait rediriger vers le dernier item qui avait obtenu le focus (attention, pas celui selectionné, celui qui avait le focus) ou à défaut le premier item
    - </t>
    </r>
    <r>
      <rPr>
        <u/>
        <sz val="12"/>
        <color theme="1"/>
        <rFont val="Arial"/>
        <family val="2"/>
      </rPr>
      <t>Caractères imprimables :</t>
    </r>
    <r>
      <rPr>
        <sz val="12"/>
        <color theme="1"/>
        <rFont val="Arial"/>
        <family val="2"/>
      </rPr>
      <t xml:space="preserve"> Ouvre bien le sous-menu mais sans rediriger vers la première option correspondant à la chaîne. Pour que ça fonctionne, on doit à nouveau taper sur la touche du caractère.
    - </t>
    </r>
    <r>
      <rPr>
        <u/>
        <sz val="12"/>
        <color theme="1"/>
        <rFont val="Arial"/>
        <family val="2"/>
      </rPr>
      <t>Home :</t>
    </r>
    <r>
      <rPr>
        <sz val="12"/>
        <color theme="1"/>
        <rFont val="Arial"/>
        <family val="2"/>
      </rPr>
      <t xml:space="preserve"> N'ouvre pas la liste déroulante et ne redirige pas vers le premier item
    - </t>
    </r>
    <r>
      <rPr>
        <u/>
        <sz val="12"/>
        <color theme="1"/>
        <rFont val="Arial"/>
        <family val="2"/>
      </rPr>
      <t>End :</t>
    </r>
    <r>
      <rPr>
        <sz val="12"/>
        <color theme="1"/>
        <rFont val="Arial"/>
        <family val="2"/>
      </rPr>
      <t xml:space="preserve"> N'ouvre pas la liste déroulante et ne redirige pas vers le dernier item
</t>
    </r>
    <r>
      <rPr>
        <b/>
        <sz val="12"/>
        <color theme="1"/>
        <rFont val="Arial"/>
        <family val="2"/>
      </rPr>
      <t>- Sous-menu :</t>
    </r>
    <r>
      <rPr>
        <sz val="12"/>
        <color theme="1"/>
        <rFont val="Arial"/>
        <family val="2"/>
      </rPr>
      <t xml:space="preserve">
    - </t>
    </r>
    <r>
      <rPr>
        <u/>
        <sz val="12"/>
        <color theme="1"/>
        <rFont val="Arial"/>
        <family val="2"/>
      </rPr>
      <t>Tab :</t>
    </r>
    <r>
      <rPr>
        <sz val="12"/>
        <color theme="1"/>
        <rFont val="Arial"/>
        <family val="2"/>
      </rPr>
      <t xml:space="preserve"> Devrait selectionner l'item qui a actuellement le focus, fermer le sous-menu puis rediriger vers l'élément suivant focusable dans le fil de la page
    - </t>
    </r>
    <r>
      <rPr>
        <u/>
        <sz val="12"/>
        <color theme="1"/>
        <rFont val="Arial"/>
        <family val="2"/>
      </rPr>
      <t>Flèche Haut :</t>
    </r>
    <r>
      <rPr>
        <sz val="12"/>
        <color theme="1"/>
        <rFont val="Arial"/>
        <family val="2"/>
      </rPr>
      <t xml:space="preserve"> Contrairement à "Flèche bas", on peut faire le tour dans les items (le suivant après le premier item est le dernier) alors qu'on ne devrait pas pouvoir boucler
    - </t>
    </r>
    <r>
      <rPr>
        <u/>
        <sz val="12"/>
        <color theme="1"/>
        <rFont val="Arial"/>
        <family val="2"/>
      </rPr>
      <t>Home :</t>
    </r>
    <r>
      <rPr>
        <sz val="12"/>
        <color theme="1"/>
        <rFont val="Arial"/>
        <family val="2"/>
      </rPr>
      <t xml:space="preserve"> Ne redirige pas vers le premier item
    - </t>
    </r>
    <r>
      <rPr>
        <u/>
        <sz val="12"/>
        <color theme="1"/>
        <rFont val="Arial"/>
        <family val="2"/>
      </rPr>
      <t>End :</t>
    </r>
    <r>
      <rPr>
        <sz val="12"/>
        <color theme="1"/>
        <rFont val="Arial"/>
        <family val="2"/>
      </rPr>
      <t xml:space="preserve"> Ne redirige pas vers le dernier item
    - </t>
    </r>
    <r>
      <rPr>
        <u/>
        <sz val="12"/>
        <color theme="1"/>
        <rFont val="Arial"/>
        <family val="2"/>
      </rPr>
      <t>Page Up/Down :</t>
    </r>
    <r>
      <rPr>
        <sz val="12"/>
        <color theme="1"/>
        <rFont val="Arial"/>
        <family val="2"/>
      </rPr>
      <t xml:space="preserve"> Ne navigue pas de 10 en 10, vers le haut ou le bas</t>
    </r>
  </si>
  <si>
    <t>Les icônes du composants ne portent aucune information. Elles possèdent un attribut aria-hidden="true".</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</si>
  <si>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</si>
  <si>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Propriété aria-autocomplete="list" présente sur le champ combobox. Dans le cas de ce composant, c'est la liste de suggestion qu'il faut toujours considérer et non la propriété "autocomplete" native.</t>
  </si>
  <si>
    <t>Audit V2</t>
  </si>
  <si>
    <t>Les 2 premières erreurs dépendent de l'erreur 7.1 sur le role="combobox" présent sur une div au lieu de l'input.
- Element div is missing required attribute aria-expanded.
- Element input is missing required attribute role.
- (Multiple) The aria-checked attribute must not be used on an input element which has a type attribute whose value is checkbox.
- (Multiple) CSS: --: Parse Error. =&gt; style="--479c4fc8: primary;"</t>
  </si>
  <si>
    <r>
      <t xml:space="preserve">L'élément est un "select only" combobox. Autrement dit, le champ doit posséder le role="combobox". Il peut s'agit d'une simple div avec tabindex="0" ou d'un input type text (voir pattern W3C Combobox Select Only + exemple MDN).
</t>
    </r>
    <r>
      <rPr>
        <b/>
        <u/>
        <sz val="12"/>
        <color theme="1"/>
        <rFont val="Arial"/>
        <family val="2"/>
      </rPr>
      <t>Points positifs :</t>
    </r>
    <r>
      <rPr>
        <sz val="12"/>
        <color theme="1"/>
        <rFont val="Arial"/>
        <family val="2"/>
      </rPr>
      <t xml:space="preserve">
  - L'input possède les attributs aria-controls, aria-autocomplete="list", aria-haspop="listbox", aria-expanded (true/false selon l'ouverture du menu), aria-activedescendant (id de l'item qui a le focus)
  - Le menu possède un nom accessible via aria-label, a un rôle listbox et l'attribut aria-multiselectable (si selection multiple)
</t>
    </r>
    <r>
      <rPr>
        <b/>
        <u/>
        <sz val="12"/>
        <color theme="1"/>
        <rFont val="Arial"/>
        <family val="2"/>
      </rPr>
      <t>Points négatifs :</t>
    </r>
    <r>
      <rPr>
        <sz val="12"/>
        <color theme="1"/>
        <rFont val="Arial"/>
        <family val="2"/>
      </rPr>
      <t xml:space="preserve">
  - Le role="combobox" ne doit pas être sur un parent, mais bien sur la balise input qui elle, est focusable
  - Le aria-selected présent sur les options du sous-menu est à true dans le cas où il a le focus =&gt; il doit être à "true" quand il est sélectionné (si select classique), coché (si select multiple) et non dès qu'il a le focus</t>
    </r>
  </si>
  <si>
    <r>
      <rPr>
        <b/>
        <u/>
        <sz val="12"/>
        <color theme="1"/>
        <rFont val="Arial"/>
        <family val="2"/>
      </rPr>
      <t>Points positifs :</t>
    </r>
    <r>
      <rPr>
        <sz val="12"/>
        <color theme="1"/>
        <rFont val="Arial"/>
        <family val="2"/>
      </rPr>
      <t xml:space="preserve">
- Possède balise aria-required="true" ou required sur l'input lorsque le champ est obligatoire
- Possède balise aria-invalid="true" sur l'input lorsque le champ est en erreur
</t>
    </r>
    <r>
      <rPr>
        <b/>
        <u/>
        <sz val="12"/>
        <color theme="1"/>
        <rFont val="Arial"/>
        <family val="2"/>
      </rPr>
      <t>Point négatif :</t>
    </r>
    <r>
      <rPr>
        <sz val="12"/>
        <color theme="1"/>
        <rFont val="Arial"/>
        <family val="2"/>
      </rPr>
      <t xml:space="preserve">
- Aucune possibilité de renseigner une aide à la saisie ou indication sur le type de donnée attendu =&gt; créer une option pour ajouter un texte d'aide à la saisie. C'est obligatoire lorsqu'il y a un format spécifique attendu.</t>
    </r>
  </si>
  <si>
    <t>Depend de la contribution =&gt; le fond du combobox étant transparent, le contributeur doit veiller à ce que l'arrière plan contigü possède un contraste suffisant avec la couleur du texte et de l'icône.
- Label :
  - centré dans l'input (16px normal)  =&gt; texte gris sur fond blanc =&gt; 5,74 (conforme)
  - ferré en haut (12px normal) :
    - focus sur l'input  =&gt; texte bleu sur fond blanc =&gt; 9,38 (conforme)
    - aucun focus sur l'input =&gt; texte gris sur fond blanc =&gt; 5,74 (conforme)
    - erreur (rouge) =&gt; texte rouge sur fond blanc =&gt; 5,7 (conforme)
- Item (16px normal) :
  - normal =&gt; texte noir sur fond blanc =&gt; 19,2 (conforme)
  - hover/selectionné (multiple) =&gt; texte noir sur fond gris =&gt; 16,1 (conforme)
  - focus =&gt; texte noir sur fond gris =&gt; 12,2 (conforme)</t>
  </si>
  <si>
    <t>Depend de la contribution =&gt; le fond du combobox étant transparent, le contributeur doit veiller à ce que l'arrière plan contigü possède un contraste suffisant avec la couleur du texte et de l'icône.
- Focus ring sur l'input =&gt; bordure bleue sur fond blanc de l'input =&gt; 9,38 (conforme)
- Focus ring sur un item =&gt; bordure bleue sur fond gris de l'item =&gt; 7,9 (conforme)
- Bordure de l'input =&gt; non audité car possède un texte (le libellé) qui permet d'identifier la zone de saisie (voir User Interface Components &gt; Boundaries : https://www.w3.org/WAI/WCAG21/Understanding/non-text-contrast.html). En revanche, le contraste est de 2,7. Il reste recommandé d'atteindre un niveau à 3.
- Icône :
  - normal =&gt; icône grise sur fond blanc =&gt; 3,2 (conforme)
  - erreur =&gt; icône rouge sur fond blanc =&gt; (5,7 conforme)
- Checkbox (multiple) :
  - bordure item normal =&gt; bordure grise sur fond blanc =&gt; 5,7 (conforme)
  - bordure item hover/selectionné =&gt; bordure grise sur fond gris =&gt; 4,8 (conforme)
  - bordure item normal =&gt; bordure grise sur fond gris =&gt; 5 (conforme)
  - icône checkbox activée =&gt; icône blanche sur fond bleue =&gt; 7,9 (conforme)</t>
  </si>
  <si>
    <t>1.0.6</t>
  </si>
  <si>
    <t>Correction post audit V2 - (voir - https://github.com/assurance-maladie-digital/design-system/issues/931)</t>
  </si>
  <si>
    <t>Déplacement du role combobox sur l'input parent + fix de l'aria-selected</t>
  </si>
  <si>
    <t xml:space="preserve">Focuse select :
Fix des flèche haut et bas  au focus 
Caractère : ouverture du sous-menu vers la prmièr eoption correspondant à la chaîne
Ajout du support des touches Home et End
Sous-menu :
Selectionne l'élément qui a le focus et ferme le sous-menu
L'utilisation des flèches ne boucle plus sur le sous-menu
Ajout de la gestion des touches Home / End
</t>
  </si>
  <si>
    <t>Ajout d'une aide à la saisie avec la prop helpTexte</t>
  </si>
  <si>
    <t>Fixé par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</si>
</sst>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
  </numFmts>
  <fonts count="24">
    <font>
      <sz val="12"/>
      <color theme="1"/>
      <name val="Aptos Narrow"/>
      <scheme val="minor"/>
    </font>
    <font>
      <b/>
      <sz val="12"/>
      <color rgb="FFFFFFFF"/>
      <name val="Aptos Narrow"/>
    </font>
    <font>
      <sz val="12"/>
      <name val="Aptos Narrow"/>
    </font>
    <font>
      <sz val="12"/>
      <color theme="1"/>
      <name val="Aptos Narrow"/>
    </font>
    <font>
      <b/>
      <sz val="14"/>
      <color theme="1"/>
      <name val="Aptos Narrow"/>
    </font>
    <font>
      <sz val="14"/>
      <color theme="1"/>
      <name val="Aptos Narrow"/>
    </font>
    <font>
      <sz val="12"/>
      <color theme="1"/>
      <name val="Arial"/>
      <family val="2"/>
    </font>
    <font>
      <b/>
      <sz val="14"/>
      <color theme="0"/>
      <name val="Aptos Narrow"/>
    </font>
    <font>
      <b/>
      <sz val="12"/>
      <color rgb="FF000000"/>
      <name val="Aptos Narrow"/>
    </font>
    <font>
      <sz val="12"/>
      <color rgb="FF000000"/>
      <name val="Aptos Narrow"/>
    </font>
    <font>
      <sz val="12"/>
      <color rgb="FFFF0000"/>
      <name val="Aptos Narrow"/>
    </font>
    <font>
      <u/>
      <sz val="12"/>
      <color theme="1"/>
      <name val="Aptos Narrow"/>
    </font>
    <font>
      <u/>
      <sz val="12"/>
      <color theme="1"/>
      <name val="Arial"/>
      <family val="2"/>
    </font>
    <font>
      <b/>
      <sz val="12"/>
      <color rgb="FF000000"/>
      <name val="Arial"/>
      <family val="2"/>
    </font>
    <font>
      <sz val="12"/>
      <color rgb="FF000000"/>
      <name val="Arial"/>
      <family val="2"/>
    </font>
    <font>
      <sz val="12"/>
      <color theme="0"/>
      <name val="Aptos Narrow"/>
    </font>
    <font>
      <u/>
      <sz val="12"/>
      <color theme="10"/>
      <name val="Aptos Narrow"/>
    </font>
    <font>
      <u/>
      <sz val="12"/>
      <color theme="10"/>
      <name val="Aptos Narrow"/>
    </font>
    <font>
      <u/>
      <sz val="12"/>
      <color rgb="FF1155CC"/>
      <name val="Arial"/>
      <family val="2"/>
    </font>
    <font>
      <b/>
      <u/>
      <sz val="12"/>
      <color theme="1"/>
      <name val="Arial"/>
      <family val="2"/>
    </font>
    <font>
      <b/>
      <sz val="12"/>
      <color theme="1"/>
      <name val="Arial"/>
      <family val="2"/>
    </font>
    <font>
      <sz val="12"/>
      <color rgb="FF006100"/>
      <name val="Aptos Narrow"/>
      <family val="2"/>
      <scheme val="minor"/>
    </font>
    <font>
      <b/>
      <sz val="14"/>
      <color theme="1"/>
      <name val="Aptos Narrow"/>
      <scheme val="minor"/>
    </font>
    <font>
      <sz val="14"/>
      <color theme="1"/>
      <name val="Aptos Narrow"/>
      <scheme val="minor"/>
    </font>
  </fonts>
  <fills count="6">
    <fill>
      <patternFill patternType="none"/>
    </fill>
    <fill>
      <patternFill patternType="gray125"/>
    </fill>
    <fill>
      <patternFill patternType="solid">
        <fgColor rgb="FF000091"/>
        <bgColor rgb="FF000091"/>
      </patternFill>
    </fill>
    <fill>
      <patternFill patternType="solid">
        <fgColor theme="0"/>
        <bgColor theme="0"/>
      </patternFill>
    </fill>
    <fill>
      <patternFill patternType="solid">
        <fgColor rgb="FFC6EFCE"/>
        <bgColor rgb="FFC6EFCE"/>
      </patternFill>
    </fill>
    <fill>
      <patternFill patternType="solid">
        <fgColor rgb="FFC6EFCE"/>
      </patternFill>
    </fill>
  </fills>
  <borders count="16">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1" fillId="5" borderId="0" applyNumberFormat="0" applyBorder="0" applyAlignment="0" applyProtection="0"/>
  </cellStyleXfs>
  <cellXfs count="52">
    <xf numFmtId="0" fontId="0" fillId="0" borderId="0" xfId="0"/>
    <xf numFmtId="0" fontId="3" fillId="0" borderId="0" xfId="0" applyFont="1"/>
    <xf numFmtId="0" fontId="3" fillId="0" borderId="0" xfId="0" applyFont="1" applyAlignment="1">
      <alignment wrapText="1"/>
    </xf>
    <xf numFmtId="0" fontId="4" fillId="0" borderId="7" xfId="0" applyFont="1" applyBorder="1" applyAlignment="1">
      <alignment horizontal="right"/>
    </xf>
    <xf numFmtId="0" fontId="5" fillId="0" borderId="0" xfId="0" applyFont="1" applyAlignment="1">
      <alignment wrapText="1"/>
    </xf>
    <xf numFmtId="0" fontId="5" fillId="0" borderId="0" xfId="0" applyFont="1"/>
    <xf numFmtId="164" fontId="5" fillId="0" borderId="7" xfId="0" applyNumberFormat="1" applyFont="1" applyBorder="1"/>
    <xf numFmtId="14" fontId="6" fillId="0" borderId="0" xfId="0" applyNumberFormat="1" applyFont="1" applyAlignment="1">
      <alignment wrapText="1"/>
    </xf>
    <xf numFmtId="0" fontId="5" fillId="0" borderId="7" xfId="0" applyFont="1" applyBorder="1" applyAlignment="1">
      <alignment horizontal="right" vertical="top"/>
    </xf>
    <xf numFmtId="0" fontId="5" fillId="0" borderId="7" xfId="0" applyFont="1" applyBorder="1" applyAlignment="1">
      <alignment horizontal="right"/>
    </xf>
    <xf numFmtId="0" fontId="6" fillId="0" borderId="0" xfId="0" applyFont="1" applyAlignment="1">
      <alignment horizontal="right" wrapText="1"/>
    </xf>
    <xf numFmtId="0" fontId="5" fillId="0" borderId="7" xfId="0" applyFont="1" applyBorder="1"/>
    <xf numFmtId="9" fontId="4" fillId="0" borderId="7" xfId="0" applyNumberFormat="1" applyFont="1" applyBorder="1"/>
    <xf numFmtId="9" fontId="6" fillId="0" borderId="0" xfId="0" applyNumberFormat="1" applyFont="1" applyAlignment="1">
      <alignment wrapText="1"/>
    </xf>
    <xf numFmtId="0" fontId="3" fillId="0" borderId="0" xfId="0" applyFont="1" applyAlignment="1">
      <alignment horizontal="center" vertical="center" wrapText="1"/>
    </xf>
    <xf numFmtId="0" fontId="7" fillId="2" borderId="7" xfId="0" applyFont="1" applyFill="1" applyBorder="1"/>
    <xf numFmtId="0" fontId="7" fillId="2" borderId="8" xfId="0" applyFont="1" applyFill="1" applyBorder="1"/>
    <xf numFmtId="0" fontId="7" fillId="2" borderId="9" xfId="0" applyFont="1" applyFill="1" applyBorder="1" applyAlignment="1">
      <alignment wrapText="1"/>
    </xf>
    <xf numFmtId="0" fontId="8" fillId="0" borderId="11" xfId="0" applyFont="1" applyBorder="1" applyAlignment="1">
      <alignment horizontal="center" vertical="center" wrapText="1"/>
    </xf>
    <xf numFmtId="0" fontId="9" fillId="0" borderId="11" xfId="0" applyFont="1" applyBorder="1" applyAlignment="1">
      <alignment horizontal="left" vertical="center" wrapText="1"/>
    </xf>
    <xf numFmtId="0" fontId="5" fillId="3" borderId="12" xfId="0" applyFont="1" applyFill="1" applyBorder="1" applyAlignment="1">
      <alignment horizontal="left" vertical="top"/>
    </xf>
    <xf numFmtId="0" fontId="3" fillId="0" borderId="7" xfId="0" applyFont="1" applyBorder="1" applyAlignment="1">
      <alignment horizontal="left" vertical="top" wrapText="1"/>
    </xf>
    <xf numFmtId="0" fontId="10" fillId="0" borderId="7" xfId="0" applyFont="1" applyBorder="1" applyAlignment="1">
      <alignment horizontal="left" vertical="top" wrapText="1"/>
    </xf>
    <xf numFmtId="0" fontId="11" fillId="4" borderId="7" xfId="0" applyFont="1" applyFill="1" applyBorder="1" applyAlignment="1">
      <alignment horizontal="left" vertical="top" wrapText="1"/>
    </xf>
    <xf numFmtId="0" fontId="3" fillId="0" borderId="7" xfId="0" quotePrefix="1" applyFont="1" applyBorder="1" applyAlignment="1">
      <alignment horizontal="left" vertical="top" wrapText="1"/>
    </xf>
    <xf numFmtId="0" fontId="6" fillId="0" borderId="7" xfId="0" applyFont="1" applyBorder="1" applyAlignment="1">
      <alignment horizontal="left" vertical="top" wrapText="1"/>
    </xf>
    <xf numFmtId="0" fontId="12" fillId="0" borderId="7" xfId="0" applyFont="1" applyBorder="1" applyAlignment="1">
      <alignment horizontal="left" vertical="top" wrapText="1"/>
    </xf>
    <xf numFmtId="165" fontId="13" fillId="0" borderId="11" xfId="0" applyNumberFormat="1" applyFont="1" applyBorder="1" applyAlignment="1">
      <alignment horizontal="center" vertical="center" wrapText="1"/>
    </xf>
    <xf numFmtId="0" fontId="14" fillId="0" borderId="11" xfId="0" applyFont="1" applyBorder="1" applyAlignment="1">
      <alignment horizontal="left" vertical="center" wrapText="1"/>
    </xf>
    <xf numFmtId="0" fontId="6" fillId="0" borderId="7" xfId="0" quotePrefix="1" applyFont="1" applyBorder="1" applyAlignment="1">
      <alignment horizontal="left" vertical="top" wrapText="1"/>
    </xf>
    <xf numFmtId="0" fontId="15" fillId="2" borderId="7" xfId="0" applyFont="1" applyFill="1" applyBorder="1"/>
    <xf numFmtId="0" fontId="16" fillId="0" borderId="7" xfId="0" quotePrefix="1" applyFont="1" applyBorder="1" applyAlignment="1">
      <alignment horizontal="left" vertical="top" wrapText="1"/>
    </xf>
    <xf numFmtId="0" fontId="17" fillId="0" borderId="7" xfId="0" applyFont="1" applyBorder="1" applyAlignment="1">
      <alignment horizontal="left" vertical="top"/>
    </xf>
    <xf numFmtId="0" fontId="11" fillId="0" borderId="7"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0" borderId="4" xfId="0" applyFont="1" applyBorder="1" applyAlignment="1">
      <alignment horizontal="left" vertical="center" wrapText="1"/>
    </xf>
    <xf numFmtId="0" fontId="2" fillId="0" borderId="5" xfId="0" applyFont="1" applyBorder="1"/>
    <xf numFmtId="0" fontId="2" fillId="0" borderId="6" xfId="0" applyFont="1" applyBorder="1"/>
    <xf numFmtId="0" fontId="5" fillId="0" borderId="4" xfId="0" applyFont="1" applyBorder="1" applyAlignment="1">
      <alignment horizontal="left" vertical="top" wrapText="1"/>
    </xf>
    <xf numFmtId="0" fontId="4" fillId="0" borderId="4" xfId="0" applyFont="1" applyBorder="1" applyAlignment="1">
      <alignment horizontal="left" vertical="top" wrapText="1"/>
    </xf>
    <xf numFmtId="0" fontId="1" fillId="2" borderId="10" xfId="0" applyFont="1" applyFill="1" applyBorder="1" applyAlignment="1">
      <alignment horizontal="center" vertical="center" textRotation="90" wrapText="1"/>
    </xf>
    <xf numFmtId="0" fontId="2" fillId="0" borderId="13" xfId="0" applyFont="1" applyBorder="1"/>
    <xf numFmtId="0" fontId="2" fillId="0" borderId="14" xfId="0" applyFont="1" applyBorder="1"/>
    <xf numFmtId="0" fontId="3" fillId="0" borderId="4" xfId="0" applyFont="1" applyBorder="1" applyAlignment="1">
      <alignment horizontal="left" vertical="top" wrapText="1"/>
    </xf>
    <xf numFmtId="0" fontId="15" fillId="2" borderId="4" xfId="0" applyFont="1" applyFill="1" applyBorder="1" applyAlignment="1">
      <alignment horizontal="left"/>
    </xf>
    <xf numFmtId="0" fontId="22" fillId="0" borderId="15" xfId="0" applyFont="1" applyBorder="1" applyAlignment="1">
      <alignment horizontal="right"/>
    </xf>
    <xf numFmtId="14" fontId="23" fillId="0" borderId="15" xfId="0" applyNumberFormat="1" applyFont="1" applyBorder="1"/>
    <xf numFmtId="0" fontId="23" fillId="0" borderId="15" xfId="0" applyFont="1" applyBorder="1"/>
    <xf numFmtId="9" fontId="22" fillId="0" borderId="15" xfId="0" applyNumberFormat="1" applyFont="1" applyBorder="1"/>
    <xf numFmtId="0" fontId="21" fillId="5" borderId="7" xfId="1" applyBorder="1" applyAlignment="1">
      <alignment horizontal="left" vertical="top" wrapText="1"/>
    </xf>
  </cellXfs>
  <cellStyles count="2">
    <cellStyle name="Normal" xfId="0" builtinId="0"/>
    <cellStyle name="Satisfaisant" xfId="1" builtinId="26"/>
  </cellStyles>
  <dxfs count="10">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78206E"/>
      </font>
      <fill>
        <patternFill patternType="solid">
          <fgColor rgb="FFF1CEEE"/>
          <bgColor rgb="FFF1CEE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78206E"/>
      </font>
      <fill>
        <patternFill patternType="solid">
          <fgColor rgb="FFF1CEEE"/>
          <bgColor rgb="FFF1CEE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ccede-web.com/notices/html-et-css/formulaires/utiliser-la-balise-label-ainsi-que-les-attributs-for-et-id-pour-etiqueter-les-champs-avec-intitule-visible/" TargetMode="External"/><Relationship Id="rId2" Type="http://schemas.openxmlformats.org/officeDocument/2006/relationships/hyperlink" Target="https://www.w3.org/WAI/ARIA/apg/patterns/combobox/examples/combobox-select-only/" TargetMode="External"/><Relationship Id="rId1" Type="http://schemas.openxmlformats.org/officeDocument/2006/relationships/hyperlink" Target="https://github.com/assurance-maladie-digital/design-system-v3/pull/768" TargetMode="External"/><Relationship Id="rId6" Type="http://schemas.openxmlformats.org/officeDocument/2006/relationships/hyperlink" Target="https://www.w3.org/WAI/ARIA/apg/patterns/combobox/examples/combobox-select-only/" TargetMode="External"/><Relationship Id="rId5" Type="http://schemas.openxmlformats.org/officeDocument/2006/relationships/hyperlink" Target="https://www.w3.org/WAI/ARIA/apg/patterns/combobox/examples/combobox-select-only/" TargetMode="External"/><Relationship Id="rId4" Type="http://schemas.openxmlformats.org/officeDocument/2006/relationships/hyperlink" Target="https://www.w3.org/WAI/ARIA/apg/patterns/combobox/examples/combobox-select-only/"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w3.org/WAI/ARIA/apg/patterns/combobox/examples/combobox-select-only/" TargetMode="External"/><Relationship Id="rId2" Type="http://schemas.openxmlformats.org/officeDocument/2006/relationships/hyperlink" Target="https://www.w3.org/WAI/ARIA/apg/patterns/combobox/examples/combobox-select-only/" TargetMode="External"/><Relationship Id="rId1" Type="http://schemas.openxmlformats.org/officeDocument/2006/relationships/hyperlink" Target="https://www.accede-web.com/notices/html-et-css/formulaires/utiliser-la-balise-label-ainsi-que-les-attributs-for-et-id-pour-etiqueter-les-champs-avec-intitule-visible/" TargetMode="External"/><Relationship Id="rId4" Type="http://schemas.openxmlformats.org/officeDocument/2006/relationships/hyperlink" Target="https://www.w3.org/WAI/ARIA/apg/patterns/combobox/examples/combobox-select-on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67" workbookViewId="0">
      <selection sqref="A1:D1"/>
    </sheetView>
  </sheetViews>
  <sheetFormatPr baseColWidth="10" defaultColWidth="11.1640625" defaultRowHeight="15" customHeight="1"/>
  <cols>
    <col min="1" max="1" width="15" customWidth="1"/>
    <col min="2" max="2" width="10.33203125" customWidth="1"/>
    <col min="3" max="3" width="59.83203125" customWidth="1"/>
    <col min="4" max="4" width="15.1640625" customWidth="1"/>
    <col min="5" max="5" width="106.6640625" customWidth="1"/>
    <col min="6" max="6" width="18.6640625" customWidth="1"/>
    <col min="7" max="26" width="10.83203125" customWidth="1"/>
  </cols>
  <sheetData>
    <row r="1" spans="1:26" ht="31.5" customHeight="1">
      <c r="A1" s="34" t="s">
        <v>0</v>
      </c>
      <c r="B1" s="35"/>
      <c r="C1" s="35"/>
      <c r="D1" s="36"/>
      <c r="E1" s="1"/>
      <c r="F1" s="2"/>
      <c r="G1" s="1"/>
      <c r="H1" s="1"/>
      <c r="I1" s="1"/>
      <c r="J1" s="1"/>
      <c r="K1" s="1"/>
      <c r="L1" s="1"/>
      <c r="M1" s="1"/>
      <c r="N1" s="1"/>
      <c r="O1" s="1"/>
      <c r="P1" s="1"/>
      <c r="Q1" s="1"/>
      <c r="R1" s="1"/>
      <c r="S1" s="1"/>
      <c r="T1" s="1"/>
      <c r="U1" s="1"/>
      <c r="V1" s="1"/>
      <c r="W1" s="1"/>
      <c r="X1" s="1"/>
      <c r="Y1" s="1"/>
      <c r="Z1" s="1"/>
    </row>
    <row r="2" spans="1:26" ht="15.75" customHeight="1">
      <c r="A2" s="37" t="s">
        <v>1</v>
      </c>
      <c r="B2" s="38"/>
      <c r="C2" s="39"/>
      <c r="D2" s="3" t="s">
        <v>2</v>
      </c>
      <c r="E2" s="3"/>
      <c r="F2" s="4"/>
      <c r="G2" s="5"/>
      <c r="H2" s="5"/>
      <c r="I2" s="5"/>
      <c r="J2" s="5"/>
      <c r="K2" s="5"/>
      <c r="L2" s="5"/>
      <c r="M2" s="5"/>
      <c r="N2" s="5"/>
      <c r="O2" s="5"/>
      <c r="P2" s="5"/>
      <c r="Q2" s="5"/>
      <c r="R2" s="5"/>
      <c r="S2" s="5"/>
      <c r="T2" s="5"/>
      <c r="U2" s="5"/>
      <c r="V2" s="5"/>
      <c r="W2" s="5"/>
      <c r="X2" s="5"/>
      <c r="Y2" s="5"/>
      <c r="Z2" s="5"/>
    </row>
    <row r="3" spans="1:26" ht="15.75" customHeight="1">
      <c r="A3" s="40" t="s">
        <v>3</v>
      </c>
      <c r="B3" s="38"/>
      <c r="C3" s="39"/>
      <c r="D3" s="6">
        <v>45786</v>
      </c>
      <c r="E3" s="6"/>
      <c r="F3" s="7">
        <v>45853</v>
      </c>
      <c r="G3" s="1"/>
      <c r="H3" s="1"/>
      <c r="I3" s="1"/>
      <c r="J3" s="1"/>
      <c r="K3" s="1"/>
      <c r="L3" s="1"/>
      <c r="M3" s="1"/>
      <c r="N3" s="1"/>
      <c r="O3" s="1"/>
      <c r="P3" s="1"/>
      <c r="Q3" s="1"/>
      <c r="R3" s="1"/>
      <c r="S3" s="1"/>
      <c r="T3" s="1"/>
      <c r="U3" s="1"/>
      <c r="V3" s="1"/>
      <c r="W3" s="1"/>
      <c r="X3" s="1"/>
      <c r="Y3" s="1"/>
      <c r="Z3" s="1"/>
    </row>
    <row r="4" spans="1:26" ht="15.75" customHeight="1">
      <c r="A4" s="40" t="s">
        <v>4</v>
      </c>
      <c r="B4" s="38"/>
      <c r="C4" s="39"/>
      <c r="D4" s="8" t="s">
        <v>5</v>
      </c>
      <c r="E4" s="9"/>
      <c r="F4" s="10" t="s">
        <v>6</v>
      </c>
      <c r="G4" s="1"/>
      <c r="H4" s="1"/>
      <c r="I4" s="1"/>
      <c r="J4" s="1"/>
      <c r="K4" s="1"/>
      <c r="L4" s="1"/>
      <c r="M4" s="1"/>
      <c r="N4" s="1"/>
      <c r="O4" s="1"/>
      <c r="P4" s="1"/>
      <c r="Q4" s="1"/>
      <c r="R4" s="1"/>
      <c r="S4" s="1"/>
      <c r="T4" s="1"/>
      <c r="U4" s="1"/>
      <c r="V4" s="1"/>
      <c r="W4" s="1"/>
      <c r="X4" s="1"/>
      <c r="Y4" s="1"/>
      <c r="Z4" s="1"/>
    </row>
    <row r="5" spans="1:26" ht="15.75" customHeight="1">
      <c r="A5" s="40" t="s">
        <v>7</v>
      </c>
      <c r="B5" s="38"/>
      <c r="C5" s="39"/>
      <c r="D5" s="11">
        <f>COUNTIF($D$14:$D$119,"Conforme")</f>
        <v>14</v>
      </c>
      <c r="E5" s="11"/>
      <c r="F5" s="2"/>
      <c r="G5" s="1"/>
      <c r="H5" s="1"/>
      <c r="I5" s="1"/>
      <c r="J5" s="1"/>
      <c r="K5" s="1"/>
      <c r="L5" s="1"/>
      <c r="M5" s="1"/>
      <c r="N5" s="1"/>
      <c r="O5" s="1"/>
      <c r="P5" s="1"/>
      <c r="Q5" s="1"/>
      <c r="R5" s="1"/>
      <c r="S5" s="1"/>
      <c r="T5" s="1"/>
      <c r="U5" s="1"/>
      <c r="V5" s="1"/>
      <c r="W5" s="1"/>
      <c r="X5" s="1"/>
      <c r="Y5" s="1"/>
      <c r="Z5" s="1"/>
    </row>
    <row r="6" spans="1:26" ht="18.75" customHeight="1">
      <c r="A6" s="40" t="s">
        <v>8</v>
      </c>
      <c r="B6" s="38"/>
      <c r="C6" s="39"/>
      <c r="D6" s="11">
        <f>COUNTIF($D$14:$D$119,"Non conforme")</f>
        <v>7</v>
      </c>
      <c r="E6" s="11"/>
      <c r="F6" s="2"/>
      <c r="G6" s="1"/>
      <c r="H6" s="1"/>
      <c r="I6" s="1"/>
      <c r="J6" s="1"/>
      <c r="K6" s="1"/>
      <c r="L6" s="1"/>
      <c r="M6" s="1"/>
      <c r="N6" s="1"/>
      <c r="O6" s="1"/>
      <c r="P6" s="1"/>
      <c r="Q6" s="1"/>
      <c r="R6" s="1"/>
      <c r="S6" s="1"/>
      <c r="T6" s="1"/>
      <c r="U6" s="1"/>
      <c r="V6" s="1"/>
      <c r="W6" s="1"/>
      <c r="X6" s="1"/>
      <c r="Y6" s="1"/>
      <c r="Z6" s="1"/>
    </row>
    <row r="7" spans="1:26" ht="18.75" customHeight="1">
      <c r="A7" s="40" t="s">
        <v>9</v>
      </c>
      <c r="B7" s="38"/>
      <c r="C7" s="39"/>
      <c r="D7" s="11">
        <f>COUNTIF($D$14:$D$119,"Non applicable")</f>
        <v>85</v>
      </c>
      <c r="E7" s="11"/>
      <c r="F7" s="2"/>
      <c r="G7" s="1"/>
      <c r="H7" s="1"/>
      <c r="I7" s="1"/>
      <c r="J7" s="1"/>
      <c r="K7" s="1"/>
      <c r="L7" s="1"/>
      <c r="M7" s="1"/>
      <c r="N7" s="1"/>
      <c r="O7" s="1"/>
      <c r="P7" s="1"/>
      <c r="Q7" s="1"/>
      <c r="R7" s="1"/>
      <c r="S7" s="1"/>
      <c r="T7" s="1"/>
      <c r="U7" s="1"/>
      <c r="V7" s="1"/>
      <c r="W7" s="1"/>
      <c r="X7" s="1"/>
      <c r="Y7" s="1"/>
      <c r="Z7" s="1"/>
    </row>
    <row r="8" spans="1:26" ht="18.75" customHeight="1">
      <c r="A8" s="40" t="s">
        <v>10</v>
      </c>
      <c r="B8" s="38"/>
      <c r="C8" s="39"/>
      <c r="D8" s="11">
        <f>COUNTIF($D$14:$D$119,"Dérogé")</f>
        <v>0</v>
      </c>
      <c r="E8" s="11"/>
      <c r="F8" s="2"/>
      <c r="G8" s="1"/>
      <c r="H8" s="1"/>
      <c r="I8" s="1"/>
      <c r="J8" s="1"/>
      <c r="K8" s="1"/>
      <c r="L8" s="1"/>
      <c r="M8" s="1"/>
      <c r="N8" s="1"/>
      <c r="O8" s="1"/>
      <c r="P8" s="1"/>
      <c r="Q8" s="1"/>
      <c r="R8" s="1"/>
      <c r="S8" s="1"/>
      <c r="T8" s="1"/>
      <c r="U8" s="1"/>
      <c r="V8" s="1"/>
      <c r="W8" s="1"/>
      <c r="X8" s="1"/>
      <c r="Y8" s="1"/>
      <c r="Z8" s="1"/>
    </row>
    <row r="9" spans="1:26" ht="18.75" customHeight="1">
      <c r="A9" s="40" t="s">
        <v>11</v>
      </c>
      <c r="B9" s="38"/>
      <c r="C9" s="39"/>
      <c r="D9" s="11">
        <f>COUNTIF($D$14:$D$119,"Non testé")</f>
        <v>0</v>
      </c>
      <c r="E9" s="11"/>
      <c r="F9" s="2"/>
      <c r="G9" s="1"/>
      <c r="H9" s="1"/>
      <c r="I9" s="1"/>
      <c r="J9" s="1"/>
      <c r="K9" s="1"/>
      <c r="L9" s="1"/>
      <c r="M9" s="1"/>
      <c r="N9" s="1"/>
      <c r="O9" s="1"/>
      <c r="P9" s="1"/>
      <c r="Q9" s="1"/>
      <c r="R9" s="1"/>
      <c r="S9" s="1"/>
      <c r="T9" s="1"/>
      <c r="U9" s="1"/>
      <c r="V9" s="1"/>
      <c r="W9" s="1"/>
      <c r="X9" s="1"/>
      <c r="Y9" s="1"/>
      <c r="Z9" s="1"/>
    </row>
    <row r="10" spans="1:26" ht="18.75" customHeight="1">
      <c r="A10" s="41" t="s">
        <v>12</v>
      </c>
      <c r="B10" s="38"/>
      <c r="C10" s="39"/>
      <c r="D10" s="12">
        <f>IF(SUM(D5:D6)&gt;0,D5/SUM(D5:D6),"")</f>
        <v>0.66666666666666663</v>
      </c>
      <c r="E10" s="12"/>
      <c r="F10" s="13">
        <v>1</v>
      </c>
      <c r="G10" s="1"/>
      <c r="H10" s="1"/>
      <c r="I10" s="1"/>
      <c r="J10" s="1"/>
      <c r="K10" s="1"/>
      <c r="L10" s="1"/>
      <c r="M10" s="1"/>
      <c r="N10" s="1"/>
      <c r="O10" s="1"/>
      <c r="P10" s="1"/>
      <c r="Q10" s="1"/>
      <c r="R10" s="1"/>
      <c r="S10" s="1"/>
      <c r="T10" s="1"/>
      <c r="U10" s="1"/>
      <c r="V10" s="1"/>
      <c r="W10" s="1"/>
      <c r="X10" s="1"/>
      <c r="Y10" s="1"/>
      <c r="Z10" s="1"/>
    </row>
    <row r="11" spans="1:26" ht="18.75" customHeight="1">
      <c r="A11" s="41" t="s">
        <v>13</v>
      </c>
      <c r="B11" s="38"/>
      <c r="C11" s="39"/>
      <c r="D11" s="12">
        <f>IF(SUM(D5:D6)&gt;0,1-ROUND(D10,2),"")</f>
        <v>0.32999999999999996</v>
      </c>
      <c r="E11" s="12"/>
      <c r="F11" s="2"/>
      <c r="G11" s="1"/>
      <c r="H11" s="1"/>
      <c r="I11" s="1"/>
      <c r="J11" s="1"/>
      <c r="K11" s="1"/>
      <c r="L11" s="1"/>
      <c r="M11" s="1"/>
      <c r="N11" s="1"/>
      <c r="O11" s="1"/>
      <c r="P11" s="1"/>
      <c r="Q11" s="1"/>
      <c r="R11" s="1"/>
      <c r="S11" s="1"/>
      <c r="T11" s="1"/>
      <c r="U11" s="1"/>
      <c r="V11" s="1"/>
      <c r="W11" s="1"/>
      <c r="X11" s="1"/>
      <c r="Y11" s="1"/>
      <c r="Z11" s="1"/>
    </row>
    <row r="12" spans="1:26" ht="15.75" customHeight="1">
      <c r="A12" s="14"/>
      <c r="B12" s="14"/>
      <c r="C12" s="14"/>
      <c r="D12" s="1"/>
      <c r="E12" s="1"/>
      <c r="F12" s="2"/>
      <c r="G12" s="1"/>
      <c r="H12" s="1"/>
      <c r="I12" s="1"/>
      <c r="J12" s="1"/>
      <c r="K12" s="1"/>
      <c r="L12" s="1"/>
      <c r="M12" s="1"/>
      <c r="N12" s="1"/>
      <c r="O12" s="1"/>
      <c r="P12" s="1"/>
      <c r="Q12" s="1"/>
      <c r="R12" s="1"/>
      <c r="S12" s="1"/>
      <c r="T12" s="1"/>
      <c r="U12" s="1"/>
      <c r="V12" s="1"/>
      <c r="W12" s="1"/>
      <c r="X12" s="1"/>
      <c r="Y12" s="1"/>
      <c r="Z12" s="1"/>
    </row>
    <row r="13" spans="1:26" ht="15.75" customHeight="1">
      <c r="A13" s="15" t="s">
        <v>14</v>
      </c>
      <c r="B13" s="15" t="s">
        <v>15</v>
      </c>
      <c r="C13" s="15" t="s">
        <v>16</v>
      </c>
      <c r="D13" s="15" t="s">
        <v>17</v>
      </c>
      <c r="E13" s="16" t="s">
        <v>18</v>
      </c>
      <c r="F13" s="17" t="s">
        <v>19</v>
      </c>
      <c r="G13" s="1"/>
      <c r="H13" s="1"/>
      <c r="I13" s="1"/>
      <c r="J13" s="1"/>
      <c r="K13" s="1"/>
      <c r="L13" s="1"/>
      <c r="M13" s="1"/>
      <c r="N13" s="1"/>
      <c r="O13" s="1"/>
      <c r="P13" s="1"/>
      <c r="Q13" s="1"/>
      <c r="R13" s="1"/>
      <c r="S13" s="1"/>
      <c r="T13" s="1"/>
      <c r="U13" s="1"/>
      <c r="V13" s="1"/>
      <c r="W13" s="1"/>
      <c r="X13" s="1"/>
      <c r="Y13" s="1"/>
      <c r="Z13" s="1"/>
    </row>
    <row r="14" spans="1:26" ht="15.75" customHeight="1">
      <c r="A14" s="42" t="s">
        <v>20</v>
      </c>
      <c r="B14" s="18" t="s">
        <v>21</v>
      </c>
      <c r="C14" s="19" t="s">
        <v>22</v>
      </c>
      <c r="D14" s="20" t="s">
        <v>23</v>
      </c>
      <c r="E14" s="21"/>
      <c r="F14" s="21"/>
      <c r="G14" s="1"/>
      <c r="H14" s="1"/>
      <c r="I14" s="1"/>
      <c r="J14" s="1"/>
      <c r="K14" s="1"/>
      <c r="L14" s="1"/>
      <c r="M14" s="1"/>
      <c r="N14" s="1"/>
      <c r="O14" s="1"/>
      <c r="P14" s="1"/>
      <c r="Q14" s="1"/>
      <c r="R14" s="1"/>
      <c r="S14" s="1"/>
      <c r="T14" s="1"/>
      <c r="U14" s="1"/>
      <c r="V14" s="1"/>
      <c r="W14" s="1"/>
      <c r="X14" s="1"/>
      <c r="Y14" s="1"/>
      <c r="Z14" s="1"/>
    </row>
    <row r="15" spans="1:26" ht="15.75" customHeight="1">
      <c r="A15" s="43"/>
      <c r="B15" s="18" t="s">
        <v>24</v>
      </c>
      <c r="C15" s="19" t="s">
        <v>25</v>
      </c>
      <c r="D15" s="20" t="s">
        <v>26</v>
      </c>
      <c r="E15" s="22" t="s">
        <v>27</v>
      </c>
      <c r="F15" s="23" t="s">
        <v>28</v>
      </c>
      <c r="G15" s="1"/>
      <c r="H15" s="1"/>
      <c r="I15" s="1"/>
      <c r="J15" s="1"/>
      <c r="K15" s="1"/>
      <c r="L15" s="1"/>
      <c r="M15" s="1"/>
      <c r="N15" s="1"/>
      <c r="O15" s="1"/>
      <c r="P15" s="1"/>
      <c r="Q15" s="1"/>
      <c r="R15" s="1"/>
      <c r="S15" s="1"/>
      <c r="T15" s="1"/>
      <c r="U15" s="1"/>
      <c r="V15" s="1"/>
      <c r="W15" s="1"/>
      <c r="X15" s="1"/>
      <c r="Y15" s="1"/>
      <c r="Z15" s="1"/>
    </row>
    <row r="16" spans="1:26" ht="15.75" customHeight="1">
      <c r="A16" s="43"/>
      <c r="B16" s="18" t="s">
        <v>29</v>
      </c>
      <c r="C16" s="19" t="s">
        <v>30</v>
      </c>
      <c r="D16" s="20" t="s">
        <v>23</v>
      </c>
      <c r="E16" s="21"/>
      <c r="F16" s="21"/>
      <c r="G16" s="1"/>
      <c r="H16" s="1"/>
      <c r="I16" s="1"/>
      <c r="J16" s="1"/>
      <c r="K16" s="1"/>
      <c r="L16" s="1"/>
      <c r="M16" s="1"/>
      <c r="N16" s="1"/>
      <c r="O16" s="1"/>
      <c r="P16" s="1"/>
      <c r="Q16" s="1"/>
      <c r="R16" s="1"/>
      <c r="S16" s="1"/>
      <c r="T16" s="1"/>
      <c r="U16" s="1"/>
      <c r="V16" s="1"/>
      <c r="W16" s="1"/>
      <c r="X16" s="1"/>
      <c r="Y16" s="1"/>
      <c r="Z16" s="1"/>
    </row>
    <row r="17" spans="1:26" ht="15.75" customHeight="1">
      <c r="A17" s="43"/>
      <c r="B17" s="18" t="s">
        <v>31</v>
      </c>
      <c r="C17" s="19" t="s">
        <v>32</v>
      </c>
      <c r="D17" s="20" t="s">
        <v>23</v>
      </c>
      <c r="E17" s="21"/>
      <c r="F17" s="21"/>
      <c r="G17" s="1"/>
      <c r="H17" s="1"/>
      <c r="I17" s="1"/>
      <c r="J17" s="1"/>
      <c r="K17" s="1"/>
      <c r="L17" s="1"/>
      <c r="M17" s="1"/>
      <c r="N17" s="1"/>
      <c r="O17" s="1"/>
      <c r="P17" s="1"/>
      <c r="Q17" s="1"/>
      <c r="R17" s="1"/>
      <c r="S17" s="1"/>
      <c r="T17" s="1"/>
      <c r="U17" s="1"/>
      <c r="V17" s="1"/>
      <c r="W17" s="1"/>
      <c r="X17" s="1"/>
      <c r="Y17" s="1"/>
      <c r="Z17" s="1"/>
    </row>
    <row r="18" spans="1:26" ht="15.75" customHeight="1">
      <c r="A18" s="43"/>
      <c r="B18" s="18" t="s">
        <v>33</v>
      </c>
      <c r="C18" s="19" t="s">
        <v>34</v>
      </c>
      <c r="D18" s="20" t="s">
        <v>23</v>
      </c>
      <c r="E18" s="21"/>
      <c r="F18" s="21"/>
      <c r="G18" s="1"/>
      <c r="H18" s="1"/>
      <c r="I18" s="1"/>
      <c r="J18" s="1"/>
      <c r="K18" s="1"/>
      <c r="L18" s="1"/>
      <c r="M18" s="1"/>
      <c r="N18" s="1"/>
      <c r="O18" s="1"/>
      <c r="P18" s="1"/>
      <c r="Q18" s="1"/>
      <c r="R18" s="1"/>
      <c r="S18" s="1"/>
      <c r="T18" s="1"/>
      <c r="U18" s="1"/>
      <c r="V18" s="1"/>
      <c r="W18" s="1"/>
      <c r="X18" s="1"/>
      <c r="Y18" s="1"/>
      <c r="Z18" s="1"/>
    </row>
    <row r="19" spans="1:26" ht="15.75" customHeight="1">
      <c r="A19" s="43"/>
      <c r="B19" s="18" t="s">
        <v>35</v>
      </c>
      <c r="C19" s="19" t="s">
        <v>36</v>
      </c>
      <c r="D19" s="20" t="s">
        <v>23</v>
      </c>
      <c r="E19" s="21"/>
      <c r="F19" s="21"/>
      <c r="G19" s="1"/>
      <c r="H19" s="1"/>
      <c r="I19" s="1"/>
      <c r="J19" s="1"/>
      <c r="K19" s="1"/>
      <c r="L19" s="1"/>
      <c r="M19" s="1"/>
      <c r="N19" s="1"/>
      <c r="O19" s="1"/>
      <c r="P19" s="1"/>
      <c r="Q19" s="1"/>
      <c r="R19" s="1"/>
      <c r="S19" s="1"/>
      <c r="T19" s="1"/>
      <c r="U19" s="1"/>
      <c r="V19" s="1"/>
      <c r="W19" s="1"/>
      <c r="X19" s="1"/>
      <c r="Y19" s="1"/>
      <c r="Z19" s="1"/>
    </row>
    <row r="20" spans="1:26" ht="15.75" customHeight="1">
      <c r="A20" s="43"/>
      <c r="B20" s="18" t="s">
        <v>37</v>
      </c>
      <c r="C20" s="19" t="s">
        <v>38</v>
      </c>
      <c r="D20" s="20" t="s">
        <v>23</v>
      </c>
      <c r="E20" s="21"/>
      <c r="F20" s="21"/>
      <c r="G20" s="1"/>
      <c r="H20" s="1"/>
      <c r="I20" s="1"/>
      <c r="J20" s="1"/>
      <c r="K20" s="1"/>
      <c r="L20" s="1"/>
      <c r="M20" s="1"/>
      <c r="N20" s="1"/>
      <c r="O20" s="1"/>
      <c r="P20" s="1"/>
      <c r="Q20" s="1"/>
      <c r="R20" s="1"/>
      <c r="S20" s="1"/>
      <c r="T20" s="1"/>
      <c r="U20" s="1"/>
      <c r="V20" s="1"/>
      <c r="W20" s="1"/>
      <c r="X20" s="1"/>
      <c r="Y20" s="1"/>
      <c r="Z20" s="1"/>
    </row>
    <row r="21" spans="1:26" ht="15.75" customHeight="1">
      <c r="A21" s="43"/>
      <c r="B21" s="18" t="s">
        <v>39</v>
      </c>
      <c r="C21" s="19" t="s">
        <v>40</v>
      </c>
      <c r="D21" s="20" t="s">
        <v>23</v>
      </c>
      <c r="E21" s="21"/>
      <c r="F21" s="21"/>
      <c r="G21" s="1"/>
      <c r="H21" s="1"/>
      <c r="I21" s="1"/>
      <c r="J21" s="1"/>
      <c r="K21" s="1"/>
      <c r="L21" s="1"/>
      <c r="M21" s="1"/>
      <c r="N21" s="1"/>
      <c r="O21" s="1"/>
      <c r="P21" s="1"/>
      <c r="Q21" s="1"/>
      <c r="R21" s="1"/>
      <c r="S21" s="1"/>
      <c r="T21" s="1"/>
      <c r="U21" s="1"/>
      <c r="V21" s="1"/>
      <c r="W21" s="1"/>
      <c r="X21" s="1"/>
      <c r="Y21" s="1"/>
      <c r="Z21" s="1"/>
    </row>
    <row r="22" spans="1:26" ht="15.75" customHeight="1">
      <c r="A22" s="44"/>
      <c r="B22" s="18" t="s">
        <v>41</v>
      </c>
      <c r="C22" s="19" t="s">
        <v>42</v>
      </c>
      <c r="D22" s="20" t="s">
        <v>23</v>
      </c>
      <c r="E22" s="21"/>
      <c r="F22" s="21"/>
      <c r="G22" s="1"/>
      <c r="H22" s="1"/>
      <c r="I22" s="1"/>
      <c r="J22" s="1"/>
      <c r="K22" s="1"/>
      <c r="L22" s="1"/>
      <c r="M22" s="1"/>
      <c r="N22" s="1"/>
      <c r="O22" s="1"/>
      <c r="P22" s="1"/>
      <c r="Q22" s="1"/>
      <c r="R22" s="1"/>
      <c r="S22" s="1"/>
      <c r="T22" s="1"/>
      <c r="U22" s="1"/>
      <c r="V22" s="1"/>
      <c r="W22" s="1"/>
      <c r="X22" s="1"/>
      <c r="Y22" s="1"/>
      <c r="Z22" s="1"/>
    </row>
    <row r="23" spans="1:26" ht="15.75" customHeight="1">
      <c r="A23" s="42" t="s">
        <v>43</v>
      </c>
      <c r="B23" s="18" t="s">
        <v>44</v>
      </c>
      <c r="C23" s="19" t="s">
        <v>45</v>
      </c>
      <c r="D23" s="20" t="s">
        <v>23</v>
      </c>
      <c r="E23" s="21"/>
      <c r="F23" s="21"/>
      <c r="G23" s="1"/>
      <c r="H23" s="1"/>
      <c r="I23" s="1"/>
      <c r="J23" s="1"/>
      <c r="K23" s="1"/>
      <c r="L23" s="1"/>
      <c r="M23" s="1"/>
      <c r="N23" s="1"/>
      <c r="O23" s="1"/>
      <c r="P23" s="1"/>
      <c r="Q23" s="1"/>
      <c r="R23" s="1"/>
      <c r="S23" s="1"/>
      <c r="T23" s="1"/>
      <c r="U23" s="1"/>
      <c r="V23" s="1"/>
      <c r="W23" s="1"/>
      <c r="X23" s="1"/>
      <c r="Y23" s="1"/>
      <c r="Z23" s="1"/>
    </row>
    <row r="24" spans="1:26" ht="15.75" customHeight="1">
      <c r="A24" s="44"/>
      <c r="B24" s="18" t="s">
        <v>46</v>
      </c>
      <c r="C24" s="19" t="s">
        <v>47</v>
      </c>
      <c r="D24" s="20" t="s">
        <v>23</v>
      </c>
      <c r="E24" s="21"/>
      <c r="F24" s="21"/>
      <c r="G24" s="1"/>
      <c r="H24" s="1"/>
      <c r="I24" s="1"/>
      <c r="J24" s="1"/>
      <c r="K24" s="1"/>
      <c r="L24" s="1"/>
      <c r="M24" s="1"/>
      <c r="N24" s="1"/>
      <c r="O24" s="1"/>
      <c r="P24" s="1"/>
      <c r="Q24" s="1"/>
      <c r="R24" s="1"/>
      <c r="S24" s="1"/>
      <c r="T24" s="1"/>
      <c r="U24" s="1"/>
      <c r="V24" s="1"/>
      <c r="W24" s="1"/>
      <c r="X24" s="1"/>
      <c r="Y24" s="1"/>
      <c r="Z24" s="1"/>
    </row>
    <row r="25" spans="1:26" ht="15.75" customHeight="1">
      <c r="A25" s="42" t="s">
        <v>48</v>
      </c>
      <c r="B25" s="18" t="s">
        <v>49</v>
      </c>
      <c r="C25" s="19" t="s">
        <v>50</v>
      </c>
      <c r="D25" s="20" t="s">
        <v>23</v>
      </c>
      <c r="E25" s="21"/>
      <c r="F25" s="21"/>
      <c r="G25" s="1"/>
      <c r="H25" s="1"/>
      <c r="I25" s="1"/>
      <c r="J25" s="1"/>
      <c r="K25" s="1"/>
      <c r="L25" s="1"/>
      <c r="M25" s="1"/>
      <c r="N25" s="1"/>
      <c r="O25" s="1"/>
      <c r="P25" s="1"/>
      <c r="Q25" s="1"/>
      <c r="R25" s="1"/>
      <c r="S25" s="1"/>
      <c r="T25" s="1"/>
      <c r="U25" s="1"/>
      <c r="V25" s="1"/>
      <c r="W25" s="1"/>
      <c r="X25" s="1"/>
      <c r="Y25" s="1"/>
      <c r="Z25" s="1"/>
    </row>
    <row r="26" spans="1:26" ht="15.75" customHeight="1">
      <c r="A26" s="43"/>
      <c r="B26" s="18" t="s">
        <v>51</v>
      </c>
      <c r="C26" s="19" t="s">
        <v>52</v>
      </c>
      <c r="D26" s="20" t="s">
        <v>53</v>
      </c>
      <c r="E26" s="21" t="s">
        <v>54</v>
      </c>
      <c r="F26" s="21"/>
      <c r="G26" s="1"/>
      <c r="H26" s="1"/>
      <c r="I26" s="1"/>
      <c r="J26" s="1"/>
      <c r="K26" s="1"/>
      <c r="L26" s="1"/>
      <c r="M26" s="1"/>
      <c r="N26" s="1"/>
      <c r="O26" s="1"/>
      <c r="P26" s="1"/>
      <c r="Q26" s="1"/>
      <c r="R26" s="1"/>
      <c r="S26" s="1"/>
      <c r="T26" s="1"/>
      <c r="U26" s="1"/>
      <c r="V26" s="1"/>
      <c r="W26" s="1"/>
      <c r="X26" s="1"/>
      <c r="Y26" s="1"/>
      <c r="Z26" s="1"/>
    </row>
    <row r="27" spans="1:26" ht="15.75" customHeight="1">
      <c r="A27" s="44"/>
      <c r="B27" s="18" t="s">
        <v>55</v>
      </c>
      <c r="C27" s="19" t="s">
        <v>56</v>
      </c>
      <c r="D27" s="20" t="s">
        <v>53</v>
      </c>
      <c r="E27" s="24" t="s">
        <v>57</v>
      </c>
      <c r="F27" s="21"/>
      <c r="G27" s="1"/>
      <c r="H27" s="1"/>
      <c r="I27" s="1"/>
      <c r="J27" s="1"/>
      <c r="K27" s="1"/>
      <c r="L27" s="1"/>
      <c r="M27" s="1"/>
      <c r="N27" s="1"/>
      <c r="O27" s="1"/>
      <c r="P27" s="1"/>
      <c r="Q27" s="1"/>
      <c r="R27" s="1"/>
      <c r="S27" s="1"/>
      <c r="T27" s="1"/>
      <c r="U27" s="1"/>
      <c r="V27" s="1"/>
      <c r="W27" s="1"/>
      <c r="X27" s="1"/>
      <c r="Y27" s="1"/>
      <c r="Z27" s="1"/>
    </row>
    <row r="28" spans="1:26" ht="15.75" customHeight="1">
      <c r="A28" s="42" t="s">
        <v>58</v>
      </c>
      <c r="B28" s="18" t="s">
        <v>59</v>
      </c>
      <c r="C28" s="19" t="s">
        <v>60</v>
      </c>
      <c r="D28" s="20" t="s">
        <v>23</v>
      </c>
      <c r="E28" s="21"/>
      <c r="F28" s="21"/>
      <c r="G28" s="1"/>
      <c r="H28" s="1"/>
      <c r="I28" s="1"/>
      <c r="J28" s="1"/>
      <c r="K28" s="1"/>
      <c r="L28" s="1"/>
      <c r="M28" s="1"/>
      <c r="N28" s="1"/>
      <c r="O28" s="1"/>
      <c r="P28" s="1"/>
      <c r="Q28" s="1"/>
      <c r="R28" s="1"/>
      <c r="S28" s="1"/>
      <c r="T28" s="1"/>
      <c r="U28" s="1"/>
      <c r="V28" s="1"/>
      <c r="W28" s="1"/>
      <c r="X28" s="1"/>
      <c r="Y28" s="1"/>
      <c r="Z28" s="1"/>
    </row>
    <row r="29" spans="1:26" ht="15.75" customHeight="1">
      <c r="A29" s="43"/>
      <c r="B29" s="18" t="s">
        <v>61</v>
      </c>
      <c r="C29" s="19" t="s">
        <v>62</v>
      </c>
      <c r="D29" s="20" t="s">
        <v>23</v>
      </c>
      <c r="E29" s="21"/>
      <c r="F29" s="21"/>
      <c r="G29" s="1"/>
      <c r="H29" s="1"/>
      <c r="I29" s="1"/>
      <c r="J29" s="1"/>
      <c r="K29" s="1"/>
      <c r="L29" s="1"/>
      <c r="M29" s="1"/>
      <c r="N29" s="1"/>
      <c r="O29" s="1"/>
      <c r="P29" s="1"/>
      <c r="Q29" s="1"/>
      <c r="R29" s="1"/>
      <c r="S29" s="1"/>
      <c r="T29" s="1"/>
      <c r="U29" s="1"/>
      <c r="V29" s="1"/>
      <c r="W29" s="1"/>
      <c r="X29" s="1"/>
      <c r="Y29" s="1"/>
      <c r="Z29" s="1"/>
    </row>
    <row r="30" spans="1:26" ht="15.75" customHeight="1">
      <c r="A30" s="43"/>
      <c r="B30" s="18" t="s">
        <v>63</v>
      </c>
      <c r="C30" s="19" t="s">
        <v>64</v>
      </c>
      <c r="D30" s="20" t="s">
        <v>23</v>
      </c>
      <c r="E30" s="21"/>
      <c r="F30" s="21"/>
      <c r="G30" s="1"/>
      <c r="H30" s="1"/>
      <c r="I30" s="1"/>
      <c r="J30" s="1"/>
      <c r="K30" s="1"/>
      <c r="L30" s="1"/>
      <c r="M30" s="1"/>
      <c r="N30" s="1"/>
      <c r="O30" s="1"/>
      <c r="P30" s="1"/>
      <c r="Q30" s="1"/>
      <c r="R30" s="1"/>
      <c r="S30" s="1"/>
      <c r="T30" s="1"/>
      <c r="U30" s="1"/>
      <c r="V30" s="1"/>
      <c r="W30" s="1"/>
      <c r="X30" s="1"/>
      <c r="Y30" s="1"/>
      <c r="Z30" s="1"/>
    </row>
    <row r="31" spans="1:26" ht="15.75" customHeight="1">
      <c r="A31" s="43"/>
      <c r="B31" s="18" t="s">
        <v>65</v>
      </c>
      <c r="C31" s="19" t="s">
        <v>66</v>
      </c>
      <c r="D31" s="20" t="s">
        <v>23</v>
      </c>
      <c r="E31" s="21"/>
      <c r="F31" s="21"/>
      <c r="G31" s="1"/>
      <c r="H31" s="1"/>
      <c r="I31" s="1"/>
      <c r="J31" s="1"/>
      <c r="K31" s="1"/>
      <c r="L31" s="1"/>
      <c r="M31" s="1"/>
      <c r="N31" s="1"/>
      <c r="O31" s="1"/>
      <c r="P31" s="1"/>
      <c r="Q31" s="1"/>
      <c r="R31" s="1"/>
      <c r="S31" s="1"/>
      <c r="T31" s="1"/>
      <c r="U31" s="1"/>
      <c r="V31" s="1"/>
      <c r="W31" s="1"/>
      <c r="X31" s="1"/>
      <c r="Y31" s="1"/>
      <c r="Z31" s="1"/>
    </row>
    <row r="32" spans="1:26" ht="15.75" customHeight="1">
      <c r="A32" s="43"/>
      <c r="B32" s="18" t="s">
        <v>67</v>
      </c>
      <c r="C32" s="19" t="s">
        <v>68</v>
      </c>
      <c r="D32" s="20" t="s">
        <v>23</v>
      </c>
      <c r="E32" s="21"/>
      <c r="F32" s="21"/>
      <c r="G32" s="1"/>
      <c r="H32" s="1"/>
      <c r="I32" s="1"/>
      <c r="J32" s="1"/>
      <c r="K32" s="1"/>
      <c r="L32" s="1"/>
      <c r="M32" s="1"/>
      <c r="N32" s="1"/>
      <c r="O32" s="1"/>
      <c r="P32" s="1"/>
      <c r="Q32" s="1"/>
      <c r="R32" s="1"/>
      <c r="S32" s="1"/>
      <c r="T32" s="1"/>
      <c r="U32" s="1"/>
      <c r="V32" s="1"/>
      <c r="W32" s="1"/>
      <c r="X32" s="1"/>
      <c r="Y32" s="1"/>
      <c r="Z32" s="1"/>
    </row>
    <row r="33" spans="1:26" ht="15.75" customHeight="1">
      <c r="A33" s="43"/>
      <c r="B33" s="18" t="s">
        <v>69</v>
      </c>
      <c r="C33" s="19" t="s">
        <v>70</v>
      </c>
      <c r="D33" s="20" t="s">
        <v>23</v>
      </c>
      <c r="E33" s="21"/>
      <c r="F33" s="21"/>
      <c r="G33" s="1"/>
      <c r="H33" s="1"/>
      <c r="I33" s="1"/>
      <c r="J33" s="1"/>
      <c r="K33" s="1"/>
      <c r="L33" s="1"/>
      <c r="M33" s="1"/>
      <c r="N33" s="1"/>
      <c r="O33" s="1"/>
      <c r="P33" s="1"/>
      <c r="Q33" s="1"/>
      <c r="R33" s="1"/>
      <c r="S33" s="1"/>
      <c r="T33" s="1"/>
      <c r="U33" s="1"/>
      <c r="V33" s="1"/>
      <c r="W33" s="1"/>
      <c r="X33" s="1"/>
      <c r="Y33" s="1"/>
      <c r="Z33" s="1"/>
    </row>
    <row r="34" spans="1:26" ht="15.75" customHeight="1">
      <c r="A34" s="43"/>
      <c r="B34" s="18" t="s">
        <v>71</v>
      </c>
      <c r="C34" s="19" t="s">
        <v>72</v>
      </c>
      <c r="D34" s="20" t="s">
        <v>23</v>
      </c>
      <c r="E34" s="21"/>
      <c r="F34" s="21"/>
      <c r="G34" s="1"/>
      <c r="H34" s="1"/>
      <c r="I34" s="1"/>
      <c r="J34" s="1"/>
      <c r="K34" s="1"/>
      <c r="L34" s="1"/>
      <c r="M34" s="1"/>
      <c r="N34" s="1"/>
      <c r="O34" s="1"/>
      <c r="P34" s="1"/>
      <c r="Q34" s="1"/>
      <c r="R34" s="1"/>
      <c r="S34" s="1"/>
      <c r="T34" s="1"/>
      <c r="U34" s="1"/>
      <c r="V34" s="1"/>
      <c r="W34" s="1"/>
      <c r="X34" s="1"/>
      <c r="Y34" s="1"/>
      <c r="Z34" s="1"/>
    </row>
    <row r="35" spans="1:26" ht="15.75" customHeight="1">
      <c r="A35" s="43"/>
      <c r="B35" s="18" t="s">
        <v>73</v>
      </c>
      <c r="C35" s="19" t="s">
        <v>74</v>
      </c>
      <c r="D35" s="20" t="s">
        <v>23</v>
      </c>
      <c r="E35" s="21"/>
      <c r="F35" s="21"/>
      <c r="G35" s="1"/>
      <c r="H35" s="1"/>
      <c r="I35" s="1"/>
      <c r="J35" s="1"/>
      <c r="K35" s="1"/>
      <c r="L35" s="1"/>
      <c r="M35" s="1"/>
      <c r="N35" s="1"/>
      <c r="O35" s="1"/>
      <c r="P35" s="1"/>
      <c r="Q35" s="1"/>
      <c r="R35" s="1"/>
      <c r="S35" s="1"/>
      <c r="T35" s="1"/>
      <c r="U35" s="1"/>
      <c r="V35" s="1"/>
      <c r="W35" s="1"/>
      <c r="X35" s="1"/>
      <c r="Y35" s="1"/>
      <c r="Z35" s="1"/>
    </row>
    <row r="36" spans="1:26" ht="15.75" customHeight="1">
      <c r="A36" s="43"/>
      <c r="B36" s="18" t="s">
        <v>75</v>
      </c>
      <c r="C36" s="19" t="s">
        <v>76</v>
      </c>
      <c r="D36" s="20" t="s">
        <v>23</v>
      </c>
      <c r="E36" s="21"/>
      <c r="F36" s="21"/>
      <c r="G36" s="1"/>
      <c r="H36" s="1"/>
      <c r="I36" s="1"/>
      <c r="J36" s="1"/>
      <c r="K36" s="1"/>
      <c r="L36" s="1"/>
      <c r="M36" s="1"/>
      <c r="N36" s="1"/>
      <c r="O36" s="1"/>
      <c r="P36" s="1"/>
      <c r="Q36" s="1"/>
      <c r="R36" s="1"/>
      <c r="S36" s="1"/>
      <c r="T36" s="1"/>
      <c r="U36" s="1"/>
      <c r="V36" s="1"/>
      <c r="W36" s="1"/>
      <c r="X36" s="1"/>
      <c r="Y36" s="1"/>
      <c r="Z36" s="1"/>
    </row>
    <row r="37" spans="1:26" ht="15.75" customHeight="1">
      <c r="A37" s="43"/>
      <c r="B37" s="18" t="s">
        <v>77</v>
      </c>
      <c r="C37" s="19" t="s">
        <v>78</v>
      </c>
      <c r="D37" s="20" t="s">
        <v>23</v>
      </c>
      <c r="E37" s="21"/>
      <c r="F37" s="21"/>
      <c r="G37" s="1"/>
      <c r="H37" s="1"/>
      <c r="I37" s="1"/>
      <c r="J37" s="1"/>
      <c r="K37" s="1"/>
      <c r="L37" s="1"/>
      <c r="M37" s="1"/>
      <c r="N37" s="1"/>
      <c r="O37" s="1"/>
      <c r="P37" s="1"/>
      <c r="Q37" s="1"/>
      <c r="R37" s="1"/>
      <c r="S37" s="1"/>
      <c r="T37" s="1"/>
      <c r="U37" s="1"/>
      <c r="V37" s="1"/>
      <c r="W37" s="1"/>
      <c r="X37" s="1"/>
      <c r="Y37" s="1"/>
      <c r="Z37" s="1"/>
    </row>
    <row r="38" spans="1:26" ht="15.75" customHeight="1">
      <c r="A38" s="43"/>
      <c r="B38" s="18" t="s">
        <v>79</v>
      </c>
      <c r="C38" s="19" t="s">
        <v>80</v>
      </c>
      <c r="D38" s="20" t="s">
        <v>23</v>
      </c>
      <c r="E38" s="21"/>
      <c r="F38" s="21"/>
      <c r="G38" s="1"/>
      <c r="H38" s="1"/>
      <c r="I38" s="1"/>
      <c r="J38" s="1"/>
      <c r="K38" s="1"/>
      <c r="L38" s="1"/>
      <c r="M38" s="1"/>
      <c r="N38" s="1"/>
      <c r="O38" s="1"/>
      <c r="P38" s="1"/>
      <c r="Q38" s="1"/>
      <c r="R38" s="1"/>
      <c r="S38" s="1"/>
      <c r="T38" s="1"/>
      <c r="U38" s="1"/>
      <c r="V38" s="1"/>
      <c r="W38" s="1"/>
      <c r="X38" s="1"/>
      <c r="Y38" s="1"/>
      <c r="Z38" s="1"/>
    </row>
    <row r="39" spans="1:26" ht="15.75" customHeight="1">
      <c r="A39" s="43"/>
      <c r="B39" s="18" t="s">
        <v>81</v>
      </c>
      <c r="C39" s="19" t="s">
        <v>82</v>
      </c>
      <c r="D39" s="20" t="s">
        <v>23</v>
      </c>
      <c r="E39" s="21"/>
      <c r="F39" s="21"/>
      <c r="G39" s="1"/>
      <c r="H39" s="1"/>
      <c r="I39" s="1"/>
      <c r="J39" s="1"/>
      <c r="K39" s="1"/>
      <c r="L39" s="1"/>
      <c r="M39" s="1"/>
      <c r="N39" s="1"/>
      <c r="O39" s="1"/>
      <c r="P39" s="1"/>
      <c r="Q39" s="1"/>
      <c r="R39" s="1"/>
      <c r="S39" s="1"/>
      <c r="T39" s="1"/>
      <c r="U39" s="1"/>
      <c r="V39" s="1"/>
      <c r="W39" s="1"/>
      <c r="X39" s="1"/>
      <c r="Y39" s="1"/>
      <c r="Z39" s="1"/>
    </row>
    <row r="40" spans="1:26" ht="15.75" customHeight="1">
      <c r="A40" s="44"/>
      <c r="B40" s="18" t="s">
        <v>83</v>
      </c>
      <c r="C40" s="19" t="s">
        <v>84</v>
      </c>
      <c r="D40" s="20" t="s">
        <v>23</v>
      </c>
      <c r="E40" s="21"/>
      <c r="F40" s="21"/>
      <c r="G40" s="1"/>
      <c r="H40" s="1"/>
      <c r="I40" s="1"/>
      <c r="J40" s="1"/>
      <c r="K40" s="1"/>
      <c r="L40" s="1"/>
      <c r="M40" s="1"/>
      <c r="N40" s="1"/>
      <c r="O40" s="1"/>
      <c r="P40" s="1"/>
      <c r="Q40" s="1"/>
      <c r="R40" s="1"/>
      <c r="S40" s="1"/>
      <c r="T40" s="1"/>
      <c r="U40" s="1"/>
      <c r="V40" s="1"/>
      <c r="W40" s="1"/>
      <c r="X40" s="1"/>
      <c r="Y40" s="1"/>
      <c r="Z40" s="1"/>
    </row>
    <row r="41" spans="1:26" ht="15.75" customHeight="1">
      <c r="A41" s="42" t="s">
        <v>85</v>
      </c>
      <c r="B41" s="18" t="s">
        <v>86</v>
      </c>
      <c r="C41" s="19" t="s">
        <v>87</v>
      </c>
      <c r="D41" s="20" t="s">
        <v>23</v>
      </c>
      <c r="E41" s="21"/>
      <c r="F41" s="21"/>
      <c r="G41" s="1"/>
      <c r="H41" s="1"/>
      <c r="I41" s="1"/>
      <c r="J41" s="1"/>
      <c r="K41" s="1"/>
      <c r="L41" s="1"/>
      <c r="M41" s="1"/>
      <c r="N41" s="1"/>
      <c r="O41" s="1"/>
      <c r="P41" s="1"/>
      <c r="Q41" s="1"/>
      <c r="R41" s="1"/>
      <c r="S41" s="1"/>
      <c r="T41" s="1"/>
      <c r="U41" s="1"/>
      <c r="V41" s="1"/>
      <c r="W41" s="1"/>
      <c r="X41" s="1"/>
      <c r="Y41" s="1"/>
      <c r="Z41" s="1"/>
    </row>
    <row r="42" spans="1:26" ht="15.75" customHeight="1">
      <c r="A42" s="43"/>
      <c r="B42" s="18" t="s">
        <v>88</v>
      </c>
      <c r="C42" s="19" t="s">
        <v>89</v>
      </c>
      <c r="D42" s="20" t="s">
        <v>23</v>
      </c>
      <c r="E42" s="21"/>
      <c r="F42" s="21"/>
      <c r="G42" s="1"/>
      <c r="H42" s="1"/>
      <c r="I42" s="1"/>
      <c r="J42" s="1"/>
      <c r="K42" s="1"/>
      <c r="L42" s="1"/>
      <c r="M42" s="1"/>
      <c r="N42" s="1"/>
      <c r="O42" s="1"/>
      <c r="P42" s="1"/>
      <c r="Q42" s="1"/>
      <c r="R42" s="1"/>
      <c r="S42" s="1"/>
      <c r="T42" s="1"/>
      <c r="U42" s="1"/>
      <c r="V42" s="1"/>
      <c r="W42" s="1"/>
      <c r="X42" s="1"/>
      <c r="Y42" s="1"/>
      <c r="Z42" s="1"/>
    </row>
    <row r="43" spans="1:26" ht="15.75" customHeight="1">
      <c r="A43" s="43"/>
      <c r="B43" s="18" t="s">
        <v>90</v>
      </c>
      <c r="C43" s="19" t="s">
        <v>91</v>
      </c>
      <c r="D43" s="20" t="s">
        <v>23</v>
      </c>
      <c r="E43" s="21"/>
      <c r="F43" s="21"/>
      <c r="G43" s="1"/>
      <c r="H43" s="1"/>
      <c r="I43" s="1"/>
      <c r="J43" s="1"/>
      <c r="K43" s="1"/>
      <c r="L43" s="1"/>
      <c r="M43" s="1"/>
      <c r="N43" s="1"/>
      <c r="O43" s="1"/>
      <c r="P43" s="1"/>
      <c r="Q43" s="1"/>
      <c r="R43" s="1"/>
      <c r="S43" s="1"/>
      <c r="T43" s="1"/>
      <c r="U43" s="1"/>
      <c r="V43" s="1"/>
      <c r="W43" s="1"/>
      <c r="X43" s="1"/>
      <c r="Y43" s="1"/>
      <c r="Z43" s="1"/>
    </row>
    <row r="44" spans="1:26" ht="15.75" customHeight="1">
      <c r="A44" s="43"/>
      <c r="B44" s="18" t="s">
        <v>92</v>
      </c>
      <c r="C44" s="19" t="s">
        <v>93</v>
      </c>
      <c r="D44" s="20" t="s">
        <v>23</v>
      </c>
      <c r="E44" s="21"/>
      <c r="F44" s="21"/>
      <c r="G44" s="1"/>
      <c r="H44" s="1"/>
      <c r="I44" s="1"/>
      <c r="J44" s="1"/>
      <c r="K44" s="1"/>
      <c r="L44" s="1"/>
      <c r="M44" s="1"/>
      <c r="N44" s="1"/>
      <c r="O44" s="1"/>
      <c r="P44" s="1"/>
      <c r="Q44" s="1"/>
      <c r="R44" s="1"/>
      <c r="S44" s="1"/>
      <c r="T44" s="1"/>
      <c r="U44" s="1"/>
      <c r="V44" s="1"/>
      <c r="W44" s="1"/>
      <c r="X44" s="1"/>
      <c r="Y44" s="1"/>
      <c r="Z44" s="1"/>
    </row>
    <row r="45" spans="1:26" ht="15.75" customHeight="1">
      <c r="A45" s="43"/>
      <c r="B45" s="18" t="s">
        <v>94</v>
      </c>
      <c r="C45" s="19" t="s">
        <v>95</v>
      </c>
      <c r="D45" s="20" t="s">
        <v>23</v>
      </c>
      <c r="E45" s="21"/>
      <c r="F45" s="21"/>
      <c r="G45" s="1"/>
      <c r="H45" s="1"/>
      <c r="I45" s="1"/>
      <c r="J45" s="1"/>
      <c r="K45" s="1"/>
      <c r="L45" s="1"/>
      <c r="M45" s="1"/>
      <c r="N45" s="1"/>
      <c r="O45" s="1"/>
      <c r="P45" s="1"/>
      <c r="Q45" s="1"/>
      <c r="R45" s="1"/>
      <c r="S45" s="1"/>
      <c r="T45" s="1"/>
      <c r="U45" s="1"/>
      <c r="V45" s="1"/>
      <c r="W45" s="1"/>
      <c r="X45" s="1"/>
      <c r="Y45" s="1"/>
      <c r="Z45" s="1"/>
    </row>
    <row r="46" spans="1:26" ht="15.75" customHeight="1">
      <c r="A46" s="43"/>
      <c r="B46" s="18" t="s">
        <v>96</v>
      </c>
      <c r="C46" s="19" t="s">
        <v>97</v>
      </c>
      <c r="D46" s="20" t="s">
        <v>23</v>
      </c>
      <c r="E46" s="21"/>
      <c r="F46" s="21"/>
      <c r="G46" s="1"/>
      <c r="H46" s="1"/>
      <c r="I46" s="1"/>
      <c r="J46" s="1"/>
      <c r="K46" s="1"/>
      <c r="L46" s="1"/>
      <c r="M46" s="1"/>
      <c r="N46" s="1"/>
      <c r="O46" s="1"/>
      <c r="P46" s="1"/>
      <c r="Q46" s="1"/>
      <c r="R46" s="1"/>
      <c r="S46" s="1"/>
      <c r="T46" s="1"/>
      <c r="U46" s="1"/>
      <c r="V46" s="1"/>
      <c r="W46" s="1"/>
      <c r="X46" s="1"/>
      <c r="Y46" s="1"/>
      <c r="Z46" s="1"/>
    </row>
    <row r="47" spans="1:26" ht="15.75" customHeight="1">
      <c r="A47" s="43"/>
      <c r="B47" s="18" t="s">
        <v>98</v>
      </c>
      <c r="C47" s="19" t="s">
        <v>99</v>
      </c>
      <c r="D47" s="20" t="s">
        <v>23</v>
      </c>
      <c r="E47" s="21"/>
      <c r="F47" s="21"/>
      <c r="G47" s="1"/>
      <c r="H47" s="1"/>
      <c r="I47" s="1"/>
      <c r="J47" s="1"/>
      <c r="K47" s="1"/>
      <c r="L47" s="1"/>
      <c r="M47" s="1"/>
      <c r="N47" s="1"/>
      <c r="O47" s="1"/>
      <c r="P47" s="1"/>
      <c r="Q47" s="1"/>
      <c r="R47" s="1"/>
      <c r="S47" s="1"/>
      <c r="T47" s="1"/>
      <c r="U47" s="1"/>
      <c r="V47" s="1"/>
      <c r="W47" s="1"/>
      <c r="X47" s="1"/>
      <c r="Y47" s="1"/>
      <c r="Z47" s="1"/>
    </row>
    <row r="48" spans="1:26" ht="15.75" customHeight="1">
      <c r="A48" s="44"/>
      <c r="B48" s="18" t="s">
        <v>100</v>
      </c>
      <c r="C48" s="19" t="s">
        <v>101</v>
      </c>
      <c r="D48" s="20" t="s">
        <v>23</v>
      </c>
      <c r="E48" s="21"/>
      <c r="F48" s="21"/>
      <c r="G48" s="1"/>
      <c r="H48" s="1"/>
      <c r="I48" s="1"/>
      <c r="J48" s="1"/>
      <c r="K48" s="1"/>
      <c r="L48" s="1"/>
      <c r="M48" s="1"/>
      <c r="N48" s="1"/>
      <c r="O48" s="1"/>
      <c r="P48" s="1"/>
      <c r="Q48" s="1"/>
      <c r="R48" s="1"/>
      <c r="S48" s="1"/>
      <c r="T48" s="1"/>
      <c r="U48" s="1"/>
      <c r="V48" s="1"/>
      <c r="W48" s="1"/>
      <c r="X48" s="1"/>
      <c r="Y48" s="1"/>
      <c r="Z48" s="1"/>
    </row>
    <row r="49" spans="1:26" ht="15.75" customHeight="1">
      <c r="A49" s="42" t="s">
        <v>102</v>
      </c>
      <c r="B49" s="18" t="s">
        <v>103</v>
      </c>
      <c r="C49" s="19" t="s">
        <v>104</v>
      </c>
      <c r="D49" s="20" t="s">
        <v>23</v>
      </c>
      <c r="E49" s="21"/>
      <c r="F49" s="21"/>
      <c r="G49" s="1"/>
      <c r="H49" s="1"/>
      <c r="I49" s="1"/>
      <c r="J49" s="1"/>
      <c r="K49" s="1"/>
      <c r="L49" s="1"/>
      <c r="M49" s="1"/>
      <c r="N49" s="1"/>
      <c r="O49" s="1"/>
      <c r="P49" s="1"/>
      <c r="Q49" s="1"/>
      <c r="R49" s="1"/>
      <c r="S49" s="1"/>
      <c r="T49" s="1"/>
      <c r="U49" s="1"/>
      <c r="V49" s="1"/>
      <c r="W49" s="1"/>
      <c r="X49" s="1"/>
      <c r="Y49" s="1"/>
      <c r="Z49" s="1"/>
    </row>
    <row r="50" spans="1:26" ht="15.75" customHeight="1">
      <c r="A50" s="44"/>
      <c r="B50" s="18" t="s">
        <v>105</v>
      </c>
      <c r="C50" s="19" t="s">
        <v>106</v>
      </c>
      <c r="D50" s="20" t="s">
        <v>23</v>
      </c>
      <c r="E50" s="21"/>
      <c r="F50" s="21"/>
      <c r="G50" s="1"/>
      <c r="H50" s="1"/>
      <c r="I50" s="1"/>
      <c r="J50" s="1"/>
      <c r="K50" s="1"/>
      <c r="L50" s="1"/>
      <c r="M50" s="1"/>
      <c r="N50" s="1"/>
      <c r="O50" s="1"/>
      <c r="P50" s="1"/>
      <c r="Q50" s="1"/>
      <c r="R50" s="1"/>
      <c r="S50" s="1"/>
      <c r="T50" s="1"/>
      <c r="U50" s="1"/>
      <c r="V50" s="1"/>
      <c r="W50" s="1"/>
      <c r="X50" s="1"/>
      <c r="Y50" s="1"/>
      <c r="Z50" s="1"/>
    </row>
    <row r="51" spans="1:26" ht="15.75" customHeight="1">
      <c r="A51" s="42" t="s">
        <v>107</v>
      </c>
      <c r="B51" s="18" t="s">
        <v>108</v>
      </c>
      <c r="C51" s="19" t="s">
        <v>109</v>
      </c>
      <c r="D51" s="20" t="s">
        <v>26</v>
      </c>
      <c r="E51" s="25" t="s">
        <v>110</v>
      </c>
      <c r="F51" s="25" t="s">
        <v>6</v>
      </c>
      <c r="G51" s="1"/>
      <c r="H51" s="1"/>
      <c r="I51" s="1"/>
      <c r="J51" s="1"/>
      <c r="K51" s="1"/>
      <c r="L51" s="1"/>
      <c r="M51" s="1"/>
      <c r="N51" s="1"/>
      <c r="O51" s="1"/>
      <c r="P51" s="1"/>
      <c r="Q51" s="1"/>
      <c r="R51" s="1"/>
      <c r="S51" s="1"/>
      <c r="T51" s="1"/>
      <c r="U51" s="1"/>
      <c r="V51" s="1"/>
      <c r="W51" s="1"/>
      <c r="X51" s="1"/>
      <c r="Y51" s="1"/>
      <c r="Z51" s="1"/>
    </row>
    <row r="52" spans="1:26" ht="15.75" customHeight="1">
      <c r="A52" s="43"/>
      <c r="B52" s="18" t="s">
        <v>111</v>
      </c>
      <c r="C52" s="19" t="s">
        <v>112</v>
      </c>
      <c r="D52" s="20" t="s">
        <v>23</v>
      </c>
      <c r="E52" s="21"/>
      <c r="F52" s="21"/>
      <c r="G52" s="1"/>
      <c r="H52" s="1"/>
      <c r="I52" s="1"/>
      <c r="J52" s="1"/>
      <c r="K52" s="1"/>
      <c r="L52" s="1"/>
      <c r="M52" s="1"/>
      <c r="N52" s="1"/>
      <c r="O52" s="1"/>
      <c r="P52" s="1"/>
      <c r="Q52" s="1"/>
      <c r="R52" s="1"/>
      <c r="S52" s="1"/>
      <c r="T52" s="1"/>
      <c r="U52" s="1"/>
      <c r="V52" s="1"/>
      <c r="W52" s="1"/>
      <c r="X52" s="1"/>
      <c r="Y52" s="1"/>
      <c r="Z52" s="1"/>
    </row>
    <row r="53" spans="1:26" ht="15.75" customHeight="1">
      <c r="A53" s="43"/>
      <c r="B53" s="18" t="s">
        <v>113</v>
      </c>
      <c r="C53" s="19" t="s">
        <v>114</v>
      </c>
      <c r="D53" s="20" t="s">
        <v>26</v>
      </c>
      <c r="E53" s="25" t="s">
        <v>115</v>
      </c>
      <c r="F53" s="26" t="s">
        <v>116</v>
      </c>
      <c r="G53" s="1"/>
      <c r="H53" s="1"/>
      <c r="I53" s="1"/>
      <c r="J53" s="1"/>
      <c r="K53" s="1"/>
      <c r="L53" s="1"/>
      <c r="M53" s="1"/>
      <c r="N53" s="1"/>
      <c r="O53" s="1"/>
      <c r="P53" s="1"/>
      <c r="Q53" s="1"/>
      <c r="R53" s="1"/>
      <c r="S53" s="1"/>
      <c r="T53" s="1"/>
      <c r="U53" s="1"/>
      <c r="V53" s="1"/>
      <c r="W53" s="1"/>
      <c r="X53" s="1"/>
      <c r="Y53" s="1"/>
      <c r="Z53" s="1"/>
    </row>
    <row r="54" spans="1:26" ht="15.75" customHeight="1">
      <c r="A54" s="43"/>
      <c r="B54" s="18" t="s">
        <v>117</v>
      </c>
      <c r="C54" s="19" t="s">
        <v>118</v>
      </c>
      <c r="D54" s="20" t="s">
        <v>23</v>
      </c>
      <c r="E54" s="21"/>
      <c r="F54" s="21"/>
      <c r="G54" s="1"/>
      <c r="H54" s="1"/>
      <c r="I54" s="1"/>
      <c r="J54" s="1"/>
      <c r="K54" s="1"/>
      <c r="L54" s="1"/>
      <c r="M54" s="1"/>
      <c r="N54" s="1"/>
      <c r="O54" s="1"/>
      <c r="P54" s="1"/>
      <c r="Q54" s="1"/>
      <c r="R54" s="1"/>
      <c r="S54" s="1"/>
      <c r="T54" s="1"/>
      <c r="U54" s="1"/>
      <c r="V54" s="1"/>
      <c r="W54" s="1"/>
      <c r="X54" s="1"/>
      <c r="Y54" s="1"/>
      <c r="Z54" s="1"/>
    </row>
    <row r="55" spans="1:26" ht="15.75" customHeight="1">
      <c r="A55" s="44"/>
      <c r="B55" s="18" t="s">
        <v>119</v>
      </c>
      <c r="C55" s="19" t="s">
        <v>120</v>
      </c>
      <c r="D55" s="20" t="s">
        <v>23</v>
      </c>
      <c r="E55" s="21"/>
      <c r="F55" s="21"/>
      <c r="G55" s="1"/>
      <c r="H55" s="1"/>
      <c r="I55" s="1"/>
      <c r="J55" s="1"/>
      <c r="K55" s="1"/>
      <c r="L55" s="1"/>
      <c r="M55" s="1"/>
      <c r="N55" s="1"/>
      <c r="O55" s="1"/>
      <c r="P55" s="1"/>
      <c r="Q55" s="1"/>
      <c r="R55" s="1"/>
      <c r="S55" s="1"/>
      <c r="T55" s="1"/>
      <c r="U55" s="1"/>
      <c r="V55" s="1"/>
      <c r="W55" s="1"/>
      <c r="X55" s="1"/>
      <c r="Y55" s="1"/>
      <c r="Z55" s="1"/>
    </row>
    <row r="56" spans="1:26" ht="15.75" customHeight="1">
      <c r="A56" s="42" t="s">
        <v>121</v>
      </c>
      <c r="B56" s="18" t="s">
        <v>122</v>
      </c>
      <c r="C56" s="19" t="s">
        <v>123</v>
      </c>
      <c r="D56" s="20" t="s">
        <v>23</v>
      </c>
      <c r="E56" s="21"/>
      <c r="F56" s="21"/>
      <c r="G56" s="1"/>
      <c r="H56" s="1"/>
      <c r="I56" s="1"/>
      <c r="J56" s="1"/>
      <c r="K56" s="1"/>
      <c r="L56" s="1"/>
      <c r="M56" s="1"/>
      <c r="N56" s="1"/>
      <c r="O56" s="1"/>
      <c r="P56" s="1"/>
      <c r="Q56" s="1"/>
      <c r="R56" s="1"/>
      <c r="S56" s="1"/>
      <c r="T56" s="1"/>
      <c r="U56" s="1"/>
      <c r="V56" s="1"/>
      <c r="W56" s="1"/>
      <c r="X56" s="1"/>
      <c r="Y56" s="1"/>
      <c r="Z56" s="1"/>
    </row>
    <row r="57" spans="1:26" ht="15.75" customHeight="1">
      <c r="A57" s="43"/>
      <c r="B57" s="18" t="s">
        <v>124</v>
      </c>
      <c r="C57" s="19" t="s">
        <v>125</v>
      </c>
      <c r="D57" s="20" t="s">
        <v>26</v>
      </c>
      <c r="E57" s="25" t="s">
        <v>126</v>
      </c>
      <c r="F57" s="25" t="s">
        <v>6</v>
      </c>
      <c r="G57" s="1"/>
      <c r="H57" s="1"/>
      <c r="I57" s="1"/>
      <c r="J57" s="1"/>
      <c r="K57" s="1"/>
      <c r="L57" s="1"/>
      <c r="M57" s="1"/>
      <c r="N57" s="1"/>
      <c r="O57" s="1"/>
      <c r="P57" s="1"/>
      <c r="Q57" s="1"/>
      <c r="R57" s="1"/>
      <c r="S57" s="1"/>
      <c r="T57" s="1"/>
      <c r="U57" s="1"/>
      <c r="V57" s="1"/>
      <c r="W57" s="1"/>
      <c r="X57" s="1"/>
      <c r="Y57" s="1"/>
      <c r="Z57" s="1"/>
    </row>
    <row r="58" spans="1:26" ht="15.75" customHeight="1">
      <c r="A58" s="43"/>
      <c r="B58" s="18" t="s">
        <v>127</v>
      </c>
      <c r="C58" s="19" t="s">
        <v>128</v>
      </c>
      <c r="D58" s="20" t="s">
        <v>23</v>
      </c>
      <c r="E58" s="21"/>
      <c r="F58" s="21"/>
      <c r="G58" s="1"/>
      <c r="H58" s="1"/>
      <c r="I58" s="1"/>
      <c r="J58" s="1"/>
      <c r="K58" s="1"/>
      <c r="L58" s="1"/>
      <c r="M58" s="1"/>
      <c r="N58" s="1"/>
      <c r="O58" s="1"/>
      <c r="P58" s="1"/>
      <c r="Q58" s="1"/>
      <c r="R58" s="1"/>
      <c r="S58" s="1"/>
      <c r="T58" s="1"/>
      <c r="U58" s="1"/>
      <c r="V58" s="1"/>
      <c r="W58" s="1"/>
      <c r="X58" s="1"/>
      <c r="Y58" s="1"/>
      <c r="Z58" s="1"/>
    </row>
    <row r="59" spans="1:26" ht="15.75" customHeight="1">
      <c r="A59" s="43"/>
      <c r="B59" s="18" t="s">
        <v>129</v>
      </c>
      <c r="C59" s="19" t="s">
        <v>130</v>
      </c>
      <c r="D59" s="20" t="s">
        <v>23</v>
      </c>
      <c r="E59" s="21"/>
      <c r="F59" s="21"/>
      <c r="G59" s="1"/>
      <c r="H59" s="1"/>
      <c r="I59" s="1"/>
      <c r="J59" s="1"/>
      <c r="K59" s="1"/>
      <c r="L59" s="1"/>
      <c r="M59" s="1"/>
      <c r="N59" s="1"/>
      <c r="O59" s="1"/>
      <c r="P59" s="1"/>
      <c r="Q59" s="1"/>
      <c r="R59" s="1"/>
      <c r="S59" s="1"/>
      <c r="T59" s="1"/>
      <c r="U59" s="1"/>
      <c r="V59" s="1"/>
      <c r="W59" s="1"/>
      <c r="X59" s="1"/>
      <c r="Y59" s="1"/>
      <c r="Z59" s="1"/>
    </row>
    <row r="60" spans="1:26" ht="15.75" customHeight="1">
      <c r="A60" s="43"/>
      <c r="B60" s="18" t="s">
        <v>131</v>
      </c>
      <c r="C60" s="19" t="s">
        <v>132</v>
      </c>
      <c r="D60" s="20" t="s">
        <v>23</v>
      </c>
      <c r="E60" s="21"/>
      <c r="F60" s="21"/>
      <c r="G60" s="1"/>
      <c r="H60" s="1"/>
      <c r="I60" s="1"/>
      <c r="J60" s="1"/>
      <c r="K60" s="1"/>
      <c r="L60" s="1"/>
      <c r="M60" s="1"/>
      <c r="N60" s="1"/>
      <c r="O60" s="1"/>
      <c r="P60" s="1"/>
      <c r="Q60" s="1"/>
      <c r="R60" s="1"/>
      <c r="S60" s="1"/>
      <c r="T60" s="1"/>
      <c r="U60" s="1"/>
      <c r="V60" s="1"/>
      <c r="W60" s="1"/>
      <c r="X60" s="1"/>
      <c r="Y60" s="1"/>
      <c r="Z60" s="1"/>
    </row>
    <row r="61" spans="1:26" ht="15.75" customHeight="1">
      <c r="A61" s="43"/>
      <c r="B61" s="18" t="s">
        <v>133</v>
      </c>
      <c r="C61" s="19" t="s">
        <v>134</v>
      </c>
      <c r="D61" s="20" t="s">
        <v>23</v>
      </c>
      <c r="E61" s="21"/>
      <c r="F61" s="21"/>
      <c r="G61" s="1"/>
      <c r="H61" s="1"/>
      <c r="I61" s="1"/>
      <c r="J61" s="1"/>
      <c r="K61" s="1"/>
      <c r="L61" s="1"/>
      <c r="M61" s="1"/>
      <c r="N61" s="1"/>
      <c r="O61" s="1"/>
      <c r="P61" s="1"/>
      <c r="Q61" s="1"/>
      <c r="R61" s="1"/>
      <c r="S61" s="1"/>
      <c r="T61" s="1"/>
      <c r="U61" s="1"/>
      <c r="V61" s="1"/>
      <c r="W61" s="1"/>
      <c r="X61" s="1"/>
      <c r="Y61" s="1"/>
      <c r="Z61" s="1"/>
    </row>
    <row r="62" spans="1:26" ht="15.75" customHeight="1">
      <c r="A62" s="43"/>
      <c r="B62" s="18" t="s">
        <v>135</v>
      </c>
      <c r="C62" s="19" t="s">
        <v>136</v>
      </c>
      <c r="D62" s="20" t="s">
        <v>23</v>
      </c>
      <c r="E62" s="21"/>
      <c r="F62" s="21"/>
      <c r="G62" s="1"/>
      <c r="H62" s="1"/>
      <c r="I62" s="1"/>
      <c r="J62" s="1"/>
      <c r="K62" s="1"/>
      <c r="L62" s="1"/>
      <c r="M62" s="1"/>
      <c r="N62" s="1"/>
      <c r="O62" s="1"/>
      <c r="P62" s="1"/>
      <c r="Q62" s="1"/>
      <c r="R62" s="1"/>
      <c r="S62" s="1"/>
      <c r="T62" s="1"/>
      <c r="U62" s="1"/>
      <c r="V62" s="1"/>
      <c r="W62" s="1"/>
      <c r="X62" s="1"/>
      <c r="Y62" s="1"/>
      <c r="Z62" s="1"/>
    </row>
    <row r="63" spans="1:26" ht="15.75" customHeight="1">
      <c r="A63" s="43"/>
      <c r="B63" s="18" t="s">
        <v>137</v>
      </c>
      <c r="C63" s="19" t="s">
        <v>138</v>
      </c>
      <c r="D63" s="20" t="s">
        <v>23</v>
      </c>
      <c r="E63" s="21"/>
      <c r="F63" s="21"/>
      <c r="G63" s="1"/>
      <c r="H63" s="1"/>
      <c r="I63" s="1"/>
      <c r="J63" s="1"/>
      <c r="K63" s="1"/>
      <c r="L63" s="1"/>
      <c r="M63" s="1"/>
      <c r="N63" s="1"/>
      <c r="O63" s="1"/>
      <c r="P63" s="1"/>
      <c r="Q63" s="1"/>
      <c r="R63" s="1"/>
      <c r="S63" s="1"/>
      <c r="T63" s="1"/>
      <c r="U63" s="1"/>
      <c r="V63" s="1"/>
      <c r="W63" s="1"/>
      <c r="X63" s="1"/>
      <c r="Y63" s="1"/>
      <c r="Z63" s="1"/>
    </row>
    <row r="64" spans="1:26" ht="15.75" customHeight="1">
      <c r="A64" s="43"/>
      <c r="B64" s="18" t="s">
        <v>139</v>
      </c>
      <c r="C64" s="19" t="s">
        <v>140</v>
      </c>
      <c r="D64" s="20" t="s">
        <v>23</v>
      </c>
      <c r="E64" s="21"/>
      <c r="F64" s="21"/>
      <c r="G64" s="1"/>
      <c r="H64" s="1"/>
      <c r="I64" s="1"/>
      <c r="J64" s="1"/>
      <c r="K64" s="1"/>
      <c r="L64" s="1"/>
      <c r="M64" s="1"/>
      <c r="N64" s="1"/>
      <c r="O64" s="1"/>
      <c r="P64" s="1"/>
      <c r="Q64" s="1"/>
      <c r="R64" s="1"/>
      <c r="S64" s="1"/>
      <c r="T64" s="1"/>
      <c r="U64" s="1"/>
      <c r="V64" s="1"/>
      <c r="W64" s="1"/>
      <c r="X64" s="1"/>
      <c r="Y64" s="1"/>
      <c r="Z64" s="1"/>
    </row>
    <row r="65" spans="1:26" ht="15.75" customHeight="1">
      <c r="A65" s="44"/>
      <c r="B65" s="18" t="s">
        <v>141</v>
      </c>
      <c r="C65" s="19" t="s">
        <v>142</v>
      </c>
      <c r="D65" s="20" t="s">
        <v>23</v>
      </c>
      <c r="E65" s="21"/>
      <c r="F65" s="21"/>
      <c r="G65" s="1"/>
      <c r="H65" s="1"/>
      <c r="I65" s="1"/>
      <c r="J65" s="1"/>
      <c r="K65" s="1"/>
      <c r="L65" s="1"/>
      <c r="M65" s="1"/>
      <c r="N65" s="1"/>
      <c r="O65" s="1"/>
      <c r="P65" s="1"/>
      <c r="Q65" s="1"/>
      <c r="R65" s="1"/>
      <c r="S65" s="1"/>
      <c r="T65" s="1"/>
      <c r="U65" s="1"/>
      <c r="V65" s="1"/>
      <c r="W65" s="1"/>
      <c r="X65" s="1"/>
      <c r="Y65" s="1"/>
      <c r="Z65" s="1"/>
    </row>
    <row r="66" spans="1:26" ht="15.75" customHeight="1">
      <c r="A66" s="42" t="s">
        <v>143</v>
      </c>
      <c r="B66" s="18" t="s">
        <v>144</v>
      </c>
      <c r="C66" s="19" t="s">
        <v>145</v>
      </c>
      <c r="D66" s="20" t="s">
        <v>23</v>
      </c>
      <c r="E66" s="21"/>
      <c r="F66" s="21"/>
      <c r="G66" s="1"/>
      <c r="H66" s="1"/>
      <c r="I66" s="1"/>
      <c r="J66" s="1"/>
      <c r="K66" s="1"/>
      <c r="L66" s="1"/>
      <c r="M66" s="1"/>
      <c r="N66" s="1"/>
      <c r="O66" s="1"/>
      <c r="P66" s="1"/>
      <c r="Q66" s="1"/>
      <c r="R66" s="1"/>
      <c r="S66" s="1"/>
      <c r="T66" s="1"/>
      <c r="U66" s="1"/>
      <c r="V66" s="1"/>
      <c r="W66" s="1"/>
      <c r="X66" s="1"/>
      <c r="Y66" s="1"/>
      <c r="Z66" s="1"/>
    </row>
    <row r="67" spans="1:26" ht="15.75" customHeight="1">
      <c r="A67" s="43"/>
      <c r="B67" s="18" t="s">
        <v>146</v>
      </c>
      <c r="C67" s="19" t="s">
        <v>147</v>
      </c>
      <c r="D67" s="20" t="s">
        <v>23</v>
      </c>
      <c r="E67" s="21"/>
      <c r="F67" s="21"/>
      <c r="G67" s="1"/>
      <c r="H67" s="1"/>
      <c r="I67" s="1"/>
      <c r="J67" s="1"/>
      <c r="K67" s="1"/>
      <c r="L67" s="1"/>
      <c r="M67" s="1"/>
      <c r="N67" s="1"/>
      <c r="O67" s="1"/>
      <c r="P67" s="1"/>
      <c r="Q67" s="1"/>
      <c r="R67" s="1"/>
      <c r="S67" s="1"/>
      <c r="T67" s="1"/>
      <c r="U67" s="1"/>
      <c r="V67" s="1"/>
      <c r="W67" s="1"/>
      <c r="X67" s="1"/>
      <c r="Y67" s="1"/>
      <c r="Z67" s="1"/>
    </row>
    <row r="68" spans="1:26" ht="15.75" customHeight="1">
      <c r="A68" s="43"/>
      <c r="B68" s="18" t="s">
        <v>148</v>
      </c>
      <c r="C68" s="19" t="s">
        <v>149</v>
      </c>
      <c r="D68" s="20" t="s">
        <v>53</v>
      </c>
      <c r="E68" s="21" t="s">
        <v>150</v>
      </c>
      <c r="F68" s="21"/>
      <c r="G68" s="1"/>
      <c r="H68" s="1"/>
      <c r="I68" s="1"/>
      <c r="J68" s="1"/>
      <c r="K68" s="1"/>
      <c r="L68" s="1"/>
      <c r="M68" s="1"/>
      <c r="N68" s="1"/>
      <c r="O68" s="1"/>
      <c r="P68" s="1"/>
      <c r="Q68" s="1"/>
      <c r="R68" s="1"/>
      <c r="S68" s="1"/>
      <c r="T68" s="1"/>
      <c r="U68" s="1"/>
      <c r="V68" s="1"/>
      <c r="W68" s="1"/>
      <c r="X68" s="1"/>
      <c r="Y68" s="1"/>
      <c r="Z68" s="1"/>
    </row>
    <row r="69" spans="1:26" ht="15.75" customHeight="1">
      <c r="A69" s="44"/>
      <c r="B69" s="18" t="s">
        <v>151</v>
      </c>
      <c r="C69" s="19" t="s">
        <v>152</v>
      </c>
      <c r="D69" s="20" t="s">
        <v>23</v>
      </c>
      <c r="E69" s="21"/>
      <c r="F69" s="21"/>
      <c r="G69" s="1"/>
      <c r="H69" s="1"/>
      <c r="I69" s="1"/>
      <c r="J69" s="1"/>
      <c r="K69" s="1"/>
      <c r="L69" s="1"/>
      <c r="M69" s="1"/>
      <c r="N69" s="1"/>
      <c r="O69" s="1"/>
      <c r="P69" s="1"/>
      <c r="Q69" s="1"/>
      <c r="R69" s="1"/>
      <c r="S69" s="1"/>
      <c r="T69" s="1"/>
      <c r="U69" s="1"/>
      <c r="V69" s="1"/>
      <c r="W69" s="1"/>
      <c r="X69" s="1"/>
      <c r="Y69" s="1"/>
      <c r="Z69" s="1"/>
    </row>
    <row r="70" spans="1:26" ht="15.75" customHeight="1">
      <c r="A70" s="42" t="s">
        <v>153</v>
      </c>
      <c r="B70" s="27">
        <v>45667</v>
      </c>
      <c r="C70" s="28" t="s">
        <v>154</v>
      </c>
      <c r="D70" s="20" t="s">
        <v>26</v>
      </c>
      <c r="E70" s="21" t="s">
        <v>155</v>
      </c>
      <c r="F70" s="25" t="s">
        <v>156</v>
      </c>
      <c r="G70" s="1"/>
      <c r="H70" s="1"/>
      <c r="I70" s="1"/>
      <c r="J70" s="1"/>
      <c r="K70" s="1"/>
      <c r="L70" s="1"/>
      <c r="M70" s="1"/>
      <c r="N70" s="1"/>
      <c r="O70" s="1"/>
      <c r="P70" s="1"/>
      <c r="Q70" s="1"/>
      <c r="R70" s="1"/>
      <c r="S70" s="1"/>
      <c r="T70" s="1"/>
      <c r="U70" s="1"/>
      <c r="V70" s="1"/>
      <c r="W70" s="1"/>
      <c r="X70" s="1"/>
      <c r="Y70" s="1"/>
      <c r="Z70" s="1"/>
    </row>
    <row r="71" spans="1:26" ht="15.75" customHeight="1">
      <c r="A71" s="43"/>
      <c r="B71" s="18" t="s">
        <v>157</v>
      </c>
      <c r="C71" s="19" t="s">
        <v>158</v>
      </c>
      <c r="D71" s="20" t="s">
        <v>53</v>
      </c>
      <c r="E71" s="21" t="s">
        <v>159</v>
      </c>
      <c r="F71" s="21"/>
      <c r="G71" s="1"/>
      <c r="H71" s="1"/>
      <c r="I71" s="1"/>
      <c r="J71" s="1"/>
      <c r="K71" s="1"/>
      <c r="L71" s="1"/>
      <c r="M71" s="1"/>
      <c r="N71" s="1"/>
      <c r="O71" s="1"/>
      <c r="P71" s="1"/>
      <c r="Q71" s="1"/>
      <c r="R71" s="1"/>
      <c r="S71" s="1"/>
      <c r="T71" s="1"/>
      <c r="U71" s="1"/>
      <c r="V71" s="1"/>
      <c r="W71" s="1"/>
      <c r="X71" s="1"/>
      <c r="Y71" s="1"/>
      <c r="Z71" s="1"/>
    </row>
    <row r="72" spans="1:26" ht="15.75" customHeight="1">
      <c r="A72" s="43"/>
      <c r="B72" s="18" t="s">
        <v>160</v>
      </c>
      <c r="C72" s="19" t="s">
        <v>161</v>
      </c>
      <c r="D72" s="20" t="s">
        <v>53</v>
      </c>
      <c r="E72" s="21" t="s">
        <v>162</v>
      </c>
      <c r="F72" s="21"/>
      <c r="G72" s="1"/>
      <c r="H72" s="1"/>
      <c r="I72" s="1"/>
      <c r="J72" s="1"/>
      <c r="K72" s="1"/>
      <c r="L72" s="1"/>
      <c r="M72" s="1"/>
      <c r="N72" s="1"/>
      <c r="O72" s="1"/>
      <c r="P72" s="1"/>
      <c r="Q72" s="1"/>
      <c r="R72" s="1"/>
      <c r="S72" s="1"/>
      <c r="T72" s="1"/>
      <c r="U72" s="1"/>
      <c r="V72" s="1"/>
      <c r="W72" s="1"/>
      <c r="X72" s="1"/>
      <c r="Y72" s="1"/>
      <c r="Z72" s="1"/>
    </row>
    <row r="73" spans="1:26" ht="15.75" customHeight="1">
      <c r="A73" s="43"/>
      <c r="B73" s="18" t="s">
        <v>163</v>
      </c>
      <c r="C73" s="19" t="s">
        <v>164</v>
      </c>
      <c r="D73" s="20" t="s">
        <v>53</v>
      </c>
      <c r="E73" s="21" t="s">
        <v>165</v>
      </c>
      <c r="F73" s="21"/>
      <c r="G73" s="1"/>
      <c r="H73" s="1"/>
      <c r="I73" s="1"/>
      <c r="J73" s="1"/>
      <c r="K73" s="1"/>
      <c r="L73" s="1"/>
      <c r="M73" s="1"/>
      <c r="N73" s="1"/>
      <c r="O73" s="1"/>
      <c r="P73" s="1"/>
      <c r="Q73" s="1"/>
      <c r="R73" s="1"/>
      <c r="S73" s="1"/>
      <c r="T73" s="1"/>
      <c r="U73" s="1"/>
      <c r="V73" s="1"/>
      <c r="W73" s="1"/>
      <c r="X73" s="1"/>
      <c r="Y73" s="1"/>
      <c r="Z73" s="1"/>
    </row>
    <row r="74" spans="1:26" ht="15.75" customHeight="1">
      <c r="A74" s="43"/>
      <c r="B74" s="18" t="s">
        <v>166</v>
      </c>
      <c r="C74" s="19" t="s">
        <v>167</v>
      </c>
      <c r="D74" s="20" t="s">
        <v>23</v>
      </c>
      <c r="E74" s="21" t="s">
        <v>168</v>
      </c>
      <c r="F74" s="21"/>
      <c r="G74" s="1"/>
      <c r="H74" s="1"/>
      <c r="I74" s="1"/>
      <c r="J74" s="1"/>
      <c r="K74" s="1"/>
      <c r="L74" s="1"/>
      <c r="M74" s="1"/>
      <c r="N74" s="1"/>
      <c r="O74" s="1"/>
      <c r="P74" s="1"/>
      <c r="Q74" s="1"/>
      <c r="R74" s="1"/>
      <c r="S74" s="1"/>
      <c r="T74" s="1"/>
      <c r="U74" s="1"/>
      <c r="V74" s="1"/>
      <c r="W74" s="1"/>
      <c r="X74" s="1"/>
      <c r="Y74" s="1"/>
      <c r="Z74" s="1"/>
    </row>
    <row r="75" spans="1:26" ht="15.75" customHeight="1">
      <c r="A75" s="43"/>
      <c r="B75" s="18" t="s">
        <v>169</v>
      </c>
      <c r="C75" s="19" t="s">
        <v>170</v>
      </c>
      <c r="D75" s="20" t="s">
        <v>23</v>
      </c>
      <c r="E75" s="21"/>
      <c r="F75" s="21"/>
      <c r="G75" s="1"/>
      <c r="H75" s="1"/>
      <c r="I75" s="1"/>
      <c r="J75" s="1"/>
      <c r="K75" s="1"/>
      <c r="L75" s="1"/>
      <c r="M75" s="1"/>
      <c r="N75" s="1"/>
      <c r="O75" s="1"/>
      <c r="P75" s="1"/>
      <c r="Q75" s="1"/>
      <c r="R75" s="1"/>
      <c r="S75" s="1"/>
      <c r="T75" s="1"/>
      <c r="U75" s="1"/>
      <c r="V75" s="1"/>
      <c r="W75" s="1"/>
      <c r="X75" s="1"/>
      <c r="Y75" s="1"/>
      <c r="Z75" s="1"/>
    </row>
    <row r="76" spans="1:26" ht="15.75" customHeight="1">
      <c r="A76" s="43"/>
      <c r="B76" s="18" t="s">
        <v>171</v>
      </c>
      <c r="C76" s="19" t="s">
        <v>172</v>
      </c>
      <c r="D76" s="20" t="s">
        <v>53</v>
      </c>
      <c r="E76" s="21" t="s">
        <v>173</v>
      </c>
      <c r="F76" s="21"/>
      <c r="G76" s="1"/>
      <c r="H76" s="1"/>
      <c r="I76" s="1"/>
      <c r="J76" s="1"/>
      <c r="K76" s="1"/>
      <c r="L76" s="1"/>
      <c r="M76" s="1"/>
      <c r="N76" s="1"/>
      <c r="O76" s="1"/>
      <c r="P76" s="1"/>
      <c r="Q76" s="1"/>
      <c r="R76" s="1"/>
      <c r="S76" s="1"/>
      <c r="T76" s="1"/>
      <c r="U76" s="1"/>
      <c r="V76" s="1"/>
      <c r="W76" s="1"/>
      <c r="X76" s="1"/>
      <c r="Y76" s="1"/>
      <c r="Z76" s="1"/>
    </row>
    <row r="77" spans="1:26" ht="15.75" customHeight="1">
      <c r="A77" s="43"/>
      <c r="B77" s="18" t="s">
        <v>174</v>
      </c>
      <c r="C77" s="19" t="s">
        <v>175</v>
      </c>
      <c r="D77" s="20" t="s">
        <v>23</v>
      </c>
      <c r="E77" s="21"/>
      <c r="F77" s="21"/>
      <c r="G77" s="1"/>
      <c r="H77" s="1"/>
      <c r="I77" s="1"/>
      <c r="J77" s="1"/>
      <c r="K77" s="1"/>
      <c r="L77" s="1"/>
      <c r="M77" s="1"/>
      <c r="N77" s="1"/>
      <c r="O77" s="1"/>
      <c r="P77" s="1"/>
      <c r="Q77" s="1"/>
      <c r="R77" s="1"/>
      <c r="S77" s="1"/>
      <c r="T77" s="1"/>
      <c r="U77" s="1"/>
      <c r="V77" s="1"/>
      <c r="W77" s="1"/>
      <c r="X77" s="1"/>
      <c r="Y77" s="1"/>
      <c r="Z77" s="1"/>
    </row>
    <row r="78" spans="1:26" ht="15.75" customHeight="1">
      <c r="A78" s="43"/>
      <c r="B78" s="18" t="s">
        <v>176</v>
      </c>
      <c r="C78" s="19" t="s">
        <v>177</v>
      </c>
      <c r="D78" s="20" t="s">
        <v>23</v>
      </c>
      <c r="E78" s="21"/>
      <c r="F78" s="21"/>
      <c r="G78" s="1"/>
      <c r="H78" s="1"/>
      <c r="I78" s="1"/>
      <c r="J78" s="1"/>
      <c r="K78" s="1"/>
      <c r="L78" s="1"/>
      <c r="M78" s="1"/>
      <c r="N78" s="1"/>
      <c r="O78" s="1"/>
      <c r="P78" s="1"/>
      <c r="Q78" s="1"/>
      <c r="R78" s="1"/>
      <c r="S78" s="1"/>
      <c r="T78" s="1"/>
      <c r="U78" s="1"/>
      <c r="V78" s="1"/>
      <c r="W78" s="1"/>
      <c r="X78" s="1"/>
      <c r="Y78" s="1"/>
      <c r="Z78" s="1"/>
    </row>
    <row r="79" spans="1:26" ht="15.75" customHeight="1">
      <c r="A79" s="43"/>
      <c r="B79" s="18" t="s">
        <v>178</v>
      </c>
      <c r="C79" s="19" t="s">
        <v>179</v>
      </c>
      <c r="D79" s="20" t="s">
        <v>23</v>
      </c>
      <c r="E79" s="21"/>
      <c r="F79" s="21"/>
      <c r="G79" s="1"/>
      <c r="H79" s="1"/>
      <c r="I79" s="1"/>
      <c r="J79" s="1"/>
      <c r="K79" s="1"/>
      <c r="L79" s="1"/>
      <c r="M79" s="1"/>
      <c r="N79" s="1"/>
      <c r="O79" s="1"/>
      <c r="P79" s="1"/>
      <c r="Q79" s="1"/>
      <c r="R79" s="1"/>
      <c r="S79" s="1"/>
      <c r="T79" s="1"/>
      <c r="U79" s="1"/>
      <c r="V79" s="1"/>
      <c r="W79" s="1"/>
      <c r="X79" s="1"/>
      <c r="Y79" s="1"/>
      <c r="Z79" s="1"/>
    </row>
    <row r="80" spans="1:26" ht="15.75" customHeight="1">
      <c r="A80" s="43"/>
      <c r="B80" s="18" t="s">
        <v>180</v>
      </c>
      <c r="C80" s="19" t="s">
        <v>181</v>
      </c>
      <c r="D80" s="20" t="s">
        <v>53</v>
      </c>
      <c r="E80" s="21" t="s">
        <v>182</v>
      </c>
      <c r="F80" s="21"/>
      <c r="G80" s="1"/>
      <c r="H80" s="1"/>
      <c r="I80" s="1"/>
      <c r="J80" s="1"/>
      <c r="K80" s="1"/>
      <c r="L80" s="1"/>
      <c r="M80" s="1"/>
      <c r="N80" s="1"/>
      <c r="O80" s="1"/>
      <c r="P80" s="1"/>
      <c r="Q80" s="1"/>
      <c r="R80" s="1"/>
      <c r="S80" s="1"/>
      <c r="T80" s="1"/>
      <c r="U80" s="1"/>
      <c r="V80" s="1"/>
      <c r="W80" s="1"/>
      <c r="X80" s="1"/>
      <c r="Y80" s="1"/>
      <c r="Z80" s="1"/>
    </row>
    <row r="81" spans="1:26" ht="15.75" customHeight="1">
      <c r="A81" s="43"/>
      <c r="B81" s="18" t="s">
        <v>183</v>
      </c>
      <c r="C81" s="19" t="s">
        <v>184</v>
      </c>
      <c r="D81" s="20" t="s">
        <v>53</v>
      </c>
      <c r="E81" s="21" t="s">
        <v>185</v>
      </c>
      <c r="F81" s="21"/>
      <c r="G81" s="1"/>
      <c r="H81" s="1"/>
      <c r="I81" s="1"/>
      <c r="J81" s="1"/>
      <c r="K81" s="1"/>
      <c r="L81" s="1"/>
      <c r="M81" s="1"/>
      <c r="N81" s="1"/>
      <c r="O81" s="1"/>
      <c r="P81" s="1"/>
      <c r="Q81" s="1"/>
      <c r="R81" s="1"/>
      <c r="S81" s="1"/>
      <c r="T81" s="1"/>
      <c r="U81" s="1"/>
      <c r="V81" s="1"/>
      <c r="W81" s="1"/>
      <c r="X81" s="1"/>
      <c r="Y81" s="1"/>
      <c r="Z81" s="1"/>
    </row>
    <row r="82" spans="1:26" ht="15.75" customHeight="1">
      <c r="A82" s="43"/>
      <c r="B82" s="18" t="s">
        <v>186</v>
      </c>
      <c r="C82" s="19" t="s">
        <v>187</v>
      </c>
      <c r="D82" s="20" t="s">
        <v>53</v>
      </c>
      <c r="E82" s="21" t="s">
        <v>188</v>
      </c>
      <c r="F82" s="21"/>
      <c r="G82" s="1"/>
      <c r="H82" s="1"/>
      <c r="I82" s="1"/>
      <c r="J82" s="1"/>
      <c r="K82" s="1"/>
      <c r="L82" s="1"/>
      <c r="M82" s="1"/>
      <c r="N82" s="1"/>
      <c r="O82" s="1"/>
      <c r="P82" s="1"/>
      <c r="Q82" s="1"/>
      <c r="R82" s="1"/>
      <c r="S82" s="1"/>
      <c r="T82" s="1"/>
      <c r="U82" s="1"/>
      <c r="V82" s="1"/>
      <c r="W82" s="1"/>
      <c r="X82" s="1"/>
      <c r="Y82" s="1"/>
      <c r="Z82" s="1"/>
    </row>
    <row r="83" spans="1:26" ht="15.75" customHeight="1">
      <c r="A83" s="44"/>
      <c r="B83" s="18" t="s">
        <v>189</v>
      </c>
      <c r="C83" s="19" t="s">
        <v>190</v>
      </c>
      <c r="D83" s="20" t="s">
        <v>53</v>
      </c>
      <c r="E83" s="21" t="s">
        <v>191</v>
      </c>
      <c r="F83" s="21"/>
      <c r="G83" s="1"/>
      <c r="H83" s="1"/>
      <c r="I83" s="1"/>
      <c r="J83" s="1"/>
      <c r="K83" s="1"/>
      <c r="L83" s="1"/>
      <c r="M83" s="1"/>
      <c r="N83" s="1"/>
      <c r="O83" s="1"/>
      <c r="P83" s="1"/>
      <c r="Q83" s="1"/>
      <c r="R83" s="1"/>
      <c r="S83" s="1"/>
      <c r="T83" s="1"/>
      <c r="U83" s="1"/>
      <c r="V83" s="1"/>
      <c r="W83" s="1"/>
      <c r="X83" s="1"/>
      <c r="Y83" s="1"/>
      <c r="Z83" s="1"/>
    </row>
    <row r="84" spans="1:26" ht="15.75" customHeight="1">
      <c r="A84" s="42" t="s">
        <v>192</v>
      </c>
      <c r="B84" s="18" t="s">
        <v>193</v>
      </c>
      <c r="C84" s="19" t="s">
        <v>194</v>
      </c>
      <c r="D84" s="20" t="s">
        <v>53</v>
      </c>
      <c r="E84" s="21" t="s">
        <v>195</v>
      </c>
      <c r="F84" s="21"/>
      <c r="G84" s="1"/>
      <c r="H84" s="1"/>
      <c r="I84" s="1"/>
      <c r="J84" s="1"/>
      <c r="K84" s="1"/>
      <c r="L84" s="1"/>
      <c r="M84" s="1"/>
      <c r="N84" s="1"/>
      <c r="O84" s="1"/>
      <c r="P84" s="1"/>
      <c r="Q84" s="1"/>
      <c r="R84" s="1"/>
      <c r="S84" s="1"/>
      <c r="T84" s="1"/>
      <c r="U84" s="1"/>
      <c r="V84" s="1"/>
      <c r="W84" s="1"/>
      <c r="X84" s="1"/>
      <c r="Y84" s="1"/>
      <c r="Z84" s="1"/>
    </row>
    <row r="85" spans="1:26" ht="15.75" customHeight="1">
      <c r="A85" s="43"/>
      <c r="B85" s="18" t="s">
        <v>196</v>
      </c>
      <c r="C85" s="19" t="s">
        <v>197</v>
      </c>
      <c r="D85" s="20" t="s">
        <v>23</v>
      </c>
      <c r="E85" s="21" t="s">
        <v>198</v>
      </c>
      <c r="F85" s="21"/>
      <c r="G85" s="1"/>
      <c r="H85" s="1"/>
      <c r="I85" s="1"/>
      <c r="J85" s="1"/>
      <c r="K85" s="1"/>
      <c r="L85" s="1"/>
      <c r="M85" s="1"/>
      <c r="N85" s="1"/>
      <c r="O85" s="1"/>
      <c r="P85" s="1"/>
      <c r="Q85" s="1"/>
      <c r="R85" s="1"/>
      <c r="S85" s="1"/>
      <c r="T85" s="1"/>
      <c r="U85" s="1"/>
      <c r="V85" s="1"/>
      <c r="W85" s="1"/>
      <c r="X85" s="1"/>
      <c r="Y85" s="1"/>
      <c r="Z85" s="1"/>
    </row>
    <row r="86" spans="1:26" ht="15.75" customHeight="1">
      <c r="A86" s="43"/>
      <c r="B86" s="18" t="s">
        <v>199</v>
      </c>
      <c r="C86" s="19" t="s">
        <v>200</v>
      </c>
      <c r="D86" s="20" t="s">
        <v>23</v>
      </c>
      <c r="E86" s="21"/>
      <c r="F86" s="21"/>
      <c r="G86" s="1"/>
      <c r="H86" s="1"/>
      <c r="I86" s="1"/>
      <c r="J86" s="1"/>
      <c r="K86" s="1"/>
      <c r="L86" s="1"/>
      <c r="M86" s="1"/>
      <c r="N86" s="1"/>
      <c r="O86" s="1"/>
      <c r="P86" s="1"/>
      <c r="Q86" s="1"/>
      <c r="R86" s="1"/>
      <c r="S86" s="1"/>
      <c r="T86" s="1"/>
      <c r="U86" s="1"/>
      <c r="V86" s="1"/>
      <c r="W86" s="1"/>
      <c r="X86" s="1"/>
      <c r="Y86" s="1"/>
      <c r="Z86" s="1"/>
    </row>
    <row r="87" spans="1:26" ht="15.75" customHeight="1">
      <c r="A87" s="43"/>
      <c r="B87" s="18" t="s">
        <v>201</v>
      </c>
      <c r="C87" s="19" t="s">
        <v>202</v>
      </c>
      <c r="D87" s="20" t="s">
        <v>53</v>
      </c>
      <c r="E87" s="21" t="s">
        <v>203</v>
      </c>
      <c r="F87" s="21"/>
      <c r="G87" s="1"/>
      <c r="H87" s="1"/>
      <c r="I87" s="1"/>
      <c r="J87" s="1"/>
      <c r="K87" s="1"/>
      <c r="L87" s="1"/>
      <c r="M87" s="1"/>
      <c r="N87" s="1"/>
      <c r="O87" s="1"/>
      <c r="P87" s="1"/>
      <c r="Q87" s="1"/>
      <c r="R87" s="1"/>
      <c r="S87" s="1"/>
      <c r="T87" s="1"/>
      <c r="U87" s="1"/>
      <c r="V87" s="1"/>
      <c r="W87" s="1"/>
      <c r="X87" s="1"/>
      <c r="Y87" s="1"/>
      <c r="Z87" s="1"/>
    </row>
    <row r="88" spans="1:26" ht="15.75" customHeight="1">
      <c r="A88" s="43"/>
      <c r="B88" s="18" t="s">
        <v>204</v>
      </c>
      <c r="C88" s="19" t="s">
        <v>205</v>
      </c>
      <c r="D88" s="20" t="s">
        <v>23</v>
      </c>
      <c r="E88" s="21"/>
      <c r="F88" s="21"/>
      <c r="G88" s="1"/>
      <c r="H88" s="1"/>
      <c r="I88" s="1"/>
      <c r="J88" s="1"/>
      <c r="K88" s="1"/>
      <c r="L88" s="1"/>
      <c r="M88" s="1"/>
      <c r="N88" s="1"/>
      <c r="O88" s="1"/>
      <c r="P88" s="1"/>
      <c r="Q88" s="1"/>
      <c r="R88" s="1"/>
      <c r="S88" s="1"/>
      <c r="T88" s="1"/>
      <c r="U88" s="1"/>
      <c r="V88" s="1"/>
      <c r="W88" s="1"/>
      <c r="X88" s="1"/>
      <c r="Y88" s="1"/>
      <c r="Z88" s="1"/>
    </row>
    <row r="89" spans="1:26" ht="15.75" customHeight="1">
      <c r="A89" s="43"/>
      <c r="B89" s="18" t="s">
        <v>206</v>
      </c>
      <c r="C89" s="19" t="s">
        <v>207</v>
      </c>
      <c r="D89" s="20" t="s">
        <v>23</v>
      </c>
      <c r="E89" s="21"/>
      <c r="F89" s="21"/>
      <c r="G89" s="1"/>
      <c r="H89" s="1"/>
      <c r="I89" s="1"/>
      <c r="J89" s="1"/>
      <c r="K89" s="1"/>
      <c r="L89" s="1"/>
      <c r="M89" s="1"/>
      <c r="N89" s="1"/>
      <c r="O89" s="1"/>
      <c r="P89" s="1"/>
      <c r="Q89" s="1"/>
      <c r="R89" s="1"/>
      <c r="S89" s="1"/>
      <c r="T89" s="1"/>
      <c r="U89" s="1"/>
      <c r="V89" s="1"/>
      <c r="W89" s="1"/>
      <c r="X89" s="1"/>
      <c r="Y89" s="1"/>
      <c r="Z89" s="1"/>
    </row>
    <row r="90" spans="1:26" ht="15.75" customHeight="1">
      <c r="A90" s="43"/>
      <c r="B90" s="18" t="s">
        <v>208</v>
      </c>
      <c r="C90" s="19" t="s">
        <v>209</v>
      </c>
      <c r="D90" s="20" t="s">
        <v>23</v>
      </c>
      <c r="E90" s="21"/>
      <c r="F90" s="21"/>
      <c r="G90" s="1"/>
      <c r="H90" s="1"/>
      <c r="I90" s="1"/>
      <c r="J90" s="1"/>
      <c r="K90" s="1"/>
      <c r="L90" s="1"/>
      <c r="M90" s="1"/>
      <c r="N90" s="1"/>
      <c r="O90" s="1"/>
      <c r="P90" s="1"/>
      <c r="Q90" s="1"/>
      <c r="R90" s="1"/>
      <c r="S90" s="1"/>
      <c r="T90" s="1"/>
      <c r="U90" s="1"/>
      <c r="V90" s="1"/>
      <c r="W90" s="1"/>
      <c r="X90" s="1"/>
      <c r="Y90" s="1"/>
      <c r="Z90" s="1"/>
    </row>
    <row r="91" spans="1:26" ht="15.75" customHeight="1">
      <c r="A91" s="43"/>
      <c r="B91" s="18" t="s">
        <v>210</v>
      </c>
      <c r="C91" s="19" t="s">
        <v>211</v>
      </c>
      <c r="D91" s="20" t="s">
        <v>23</v>
      </c>
      <c r="E91" s="21" t="s">
        <v>212</v>
      </c>
      <c r="F91" s="21"/>
      <c r="G91" s="1"/>
      <c r="H91" s="1"/>
      <c r="I91" s="1"/>
      <c r="J91" s="1"/>
      <c r="K91" s="1"/>
      <c r="L91" s="1"/>
      <c r="M91" s="1"/>
      <c r="N91" s="1"/>
      <c r="O91" s="1"/>
      <c r="P91" s="1"/>
      <c r="Q91" s="1"/>
      <c r="R91" s="1"/>
      <c r="S91" s="1"/>
      <c r="T91" s="1"/>
      <c r="U91" s="1"/>
      <c r="V91" s="1"/>
      <c r="W91" s="1"/>
      <c r="X91" s="1"/>
      <c r="Y91" s="1"/>
      <c r="Z91" s="1"/>
    </row>
    <row r="92" spans="1:26" ht="15.75" customHeight="1">
      <c r="A92" s="43"/>
      <c r="B92" s="18" t="s">
        <v>213</v>
      </c>
      <c r="C92" s="19" t="s">
        <v>214</v>
      </c>
      <c r="D92" s="20" t="s">
        <v>23</v>
      </c>
      <c r="E92" s="21"/>
      <c r="F92" s="21"/>
      <c r="G92" s="1"/>
      <c r="H92" s="1"/>
      <c r="I92" s="1"/>
      <c r="J92" s="1"/>
      <c r="K92" s="1"/>
      <c r="L92" s="1"/>
      <c r="M92" s="1"/>
      <c r="N92" s="1"/>
      <c r="O92" s="1"/>
      <c r="P92" s="1"/>
      <c r="Q92" s="1"/>
      <c r="R92" s="1"/>
      <c r="S92" s="1"/>
      <c r="T92" s="1"/>
      <c r="U92" s="1"/>
      <c r="V92" s="1"/>
      <c r="W92" s="1"/>
      <c r="X92" s="1"/>
      <c r="Y92" s="1"/>
      <c r="Z92" s="1"/>
    </row>
    <row r="93" spans="1:26" ht="15.75" customHeight="1">
      <c r="A93" s="43"/>
      <c r="B93" s="27">
        <v>45941</v>
      </c>
      <c r="C93" s="19" t="s">
        <v>215</v>
      </c>
      <c r="D93" s="20" t="s">
        <v>26</v>
      </c>
      <c r="E93" s="29" t="s">
        <v>216</v>
      </c>
      <c r="F93" s="25" t="s">
        <v>6</v>
      </c>
      <c r="G93" s="1"/>
      <c r="H93" s="1"/>
      <c r="I93" s="1"/>
      <c r="J93" s="1"/>
      <c r="K93" s="1"/>
      <c r="L93" s="1"/>
      <c r="M93" s="1"/>
      <c r="N93" s="1"/>
      <c r="O93" s="1"/>
      <c r="P93" s="1"/>
      <c r="Q93" s="1"/>
      <c r="R93" s="1"/>
      <c r="S93" s="1"/>
      <c r="T93" s="1"/>
      <c r="U93" s="1"/>
      <c r="V93" s="1"/>
      <c r="W93" s="1"/>
      <c r="X93" s="1"/>
      <c r="Y93" s="1"/>
      <c r="Z93" s="1"/>
    </row>
    <row r="94" spans="1:26" ht="15.75" customHeight="1">
      <c r="A94" s="43"/>
      <c r="B94" s="18" t="s">
        <v>217</v>
      </c>
      <c r="C94" s="19" t="s">
        <v>218</v>
      </c>
      <c r="D94" s="20" t="s">
        <v>23</v>
      </c>
      <c r="E94" s="21" t="s">
        <v>219</v>
      </c>
      <c r="F94" s="21"/>
      <c r="G94" s="1"/>
      <c r="H94" s="1"/>
      <c r="I94" s="1"/>
      <c r="J94" s="1"/>
      <c r="K94" s="1"/>
      <c r="L94" s="1"/>
      <c r="M94" s="1"/>
      <c r="N94" s="1"/>
      <c r="O94" s="1"/>
      <c r="P94" s="1"/>
      <c r="Q94" s="1"/>
      <c r="R94" s="1"/>
      <c r="S94" s="1"/>
      <c r="T94" s="1"/>
      <c r="U94" s="1"/>
      <c r="V94" s="1"/>
      <c r="W94" s="1"/>
      <c r="X94" s="1"/>
      <c r="Y94" s="1"/>
      <c r="Z94" s="1"/>
    </row>
    <row r="95" spans="1:26" ht="15.75" customHeight="1">
      <c r="A95" s="43"/>
      <c r="B95" s="18" t="s">
        <v>220</v>
      </c>
      <c r="C95" s="19" t="s">
        <v>221</v>
      </c>
      <c r="D95" s="20" t="s">
        <v>23</v>
      </c>
      <c r="E95" s="21"/>
      <c r="F95" s="21"/>
      <c r="G95" s="1"/>
      <c r="H95" s="1"/>
      <c r="I95" s="1"/>
      <c r="J95" s="1"/>
      <c r="K95" s="1"/>
      <c r="L95" s="1"/>
      <c r="M95" s="1"/>
      <c r="N95" s="1"/>
      <c r="O95" s="1"/>
      <c r="P95" s="1"/>
      <c r="Q95" s="1"/>
      <c r="R95" s="1"/>
      <c r="S95" s="1"/>
      <c r="T95" s="1"/>
      <c r="U95" s="1"/>
      <c r="V95" s="1"/>
      <c r="W95" s="1"/>
      <c r="X95" s="1"/>
      <c r="Y95" s="1"/>
      <c r="Z95" s="1"/>
    </row>
    <row r="96" spans="1:26" ht="15.75" customHeight="1">
      <c r="A96" s="44"/>
      <c r="B96" s="18" t="s">
        <v>222</v>
      </c>
      <c r="C96" s="19" t="s">
        <v>223</v>
      </c>
      <c r="D96" s="20" t="s">
        <v>26</v>
      </c>
      <c r="E96" s="25" t="s">
        <v>224</v>
      </c>
      <c r="F96" s="25" t="s">
        <v>6</v>
      </c>
      <c r="G96" s="1"/>
      <c r="H96" s="1"/>
      <c r="I96" s="1"/>
      <c r="J96" s="1"/>
      <c r="K96" s="1"/>
      <c r="L96" s="1"/>
      <c r="M96" s="1"/>
      <c r="N96" s="1"/>
      <c r="O96" s="1"/>
      <c r="P96" s="1"/>
      <c r="Q96" s="1"/>
      <c r="R96" s="1"/>
      <c r="S96" s="1"/>
      <c r="T96" s="1"/>
      <c r="U96" s="1"/>
      <c r="V96" s="1"/>
      <c r="W96" s="1"/>
      <c r="X96" s="1"/>
      <c r="Y96" s="1"/>
      <c r="Z96" s="1"/>
    </row>
    <row r="97" spans="1:26" ht="15.75" customHeight="1">
      <c r="A97" s="42" t="s">
        <v>225</v>
      </c>
      <c r="B97" s="18" t="s">
        <v>226</v>
      </c>
      <c r="C97" s="19" t="s">
        <v>227</v>
      </c>
      <c r="D97" s="20" t="s">
        <v>23</v>
      </c>
      <c r="E97" s="21"/>
      <c r="F97" s="21"/>
      <c r="G97" s="1"/>
      <c r="H97" s="1"/>
      <c r="I97" s="1"/>
      <c r="J97" s="1"/>
      <c r="K97" s="1"/>
      <c r="L97" s="1"/>
      <c r="M97" s="1"/>
      <c r="N97" s="1"/>
      <c r="O97" s="1"/>
      <c r="P97" s="1"/>
      <c r="Q97" s="1"/>
      <c r="R97" s="1"/>
      <c r="S97" s="1"/>
      <c r="T97" s="1"/>
      <c r="U97" s="1"/>
      <c r="V97" s="1"/>
      <c r="W97" s="1"/>
      <c r="X97" s="1"/>
      <c r="Y97" s="1"/>
      <c r="Z97" s="1"/>
    </row>
    <row r="98" spans="1:26" ht="15.75" customHeight="1">
      <c r="A98" s="43"/>
      <c r="B98" s="18" t="s">
        <v>228</v>
      </c>
      <c r="C98" s="19" t="s">
        <v>229</v>
      </c>
      <c r="D98" s="20" t="s">
        <v>23</v>
      </c>
      <c r="E98" s="21"/>
      <c r="F98" s="21"/>
      <c r="G98" s="1"/>
      <c r="H98" s="1"/>
      <c r="I98" s="1"/>
      <c r="J98" s="1"/>
      <c r="K98" s="1"/>
      <c r="L98" s="1"/>
      <c r="M98" s="1"/>
      <c r="N98" s="1"/>
      <c r="O98" s="1"/>
      <c r="P98" s="1"/>
      <c r="Q98" s="1"/>
      <c r="R98" s="1"/>
      <c r="S98" s="1"/>
      <c r="T98" s="1"/>
      <c r="U98" s="1"/>
      <c r="V98" s="1"/>
      <c r="W98" s="1"/>
      <c r="X98" s="1"/>
      <c r="Y98" s="1"/>
      <c r="Z98" s="1"/>
    </row>
    <row r="99" spans="1:26" ht="15.75" customHeight="1">
      <c r="A99" s="43"/>
      <c r="B99" s="18" t="s">
        <v>230</v>
      </c>
      <c r="C99" s="19" t="s">
        <v>231</v>
      </c>
      <c r="D99" s="20" t="s">
        <v>23</v>
      </c>
      <c r="E99" s="21"/>
      <c r="F99" s="21"/>
      <c r="G99" s="1"/>
      <c r="H99" s="1"/>
      <c r="I99" s="1"/>
      <c r="J99" s="1"/>
      <c r="K99" s="1"/>
      <c r="L99" s="1"/>
      <c r="M99" s="1"/>
      <c r="N99" s="1"/>
      <c r="O99" s="1"/>
      <c r="P99" s="1"/>
      <c r="Q99" s="1"/>
      <c r="R99" s="1"/>
      <c r="S99" s="1"/>
      <c r="T99" s="1"/>
      <c r="U99" s="1"/>
      <c r="V99" s="1"/>
      <c r="W99" s="1"/>
      <c r="X99" s="1"/>
      <c r="Y99" s="1"/>
      <c r="Z99" s="1"/>
    </row>
    <row r="100" spans="1:26" ht="15.75" customHeight="1">
      <c r="A100" s="43"/>
      <c r="B100" s="18" t="s">
        <v>232</v>
      </c>
      <c r="C100" s="19" t="s">
        <v>233</v>
      </c>
      <c r="D100" s="20" t="s">
        <v>23</v>
      </c>
      <c r="E100" s="21"/>
      <c r="F100" s="21"/>
      <c r="G100" s="1"/>
      <c r="H100" s="1"/>
      <c r="I100" s="1"/>
      <c r="J100" s="1"/>
      <c r="K100" s="1"/>
      <c r="L100" s="1"/>
      <c r="M100" s="1"/>
      <c r="N100" s="1"/>
      <c r="O100" s="1"/>
      <c r="P100" s="1"/>
      <c r="Q100" s="1"/>
      <c r="R100" s="1"/>
      <c r="S100" s="1"/>
      <c r="T100" s="1"/>
      <c r="U100" s="1"/>
      <c r="V100" s="1"/>
      <c r="W100" s="1"/>
      <c r="X100" s="1"/>
      <c r="Y100" s="1"/>
      <c r="Z100" s="1"/>
    </row>
    <row r="101" spans="1:26" ht="15.75" customHeight="1">
      <c r="A101" s="43"/>
      <c r="B101" s="18" t="s">
        <v>234</v>
      </c>
      <c r="C101" s="19" t="s">
        <v>235</v>
      </c>
      <c r="D101" s="20" t="s">
        <v>23</v>
      </c>
      <c r="E101" s="21"/>
      <c r="F101" s="21"/>
      <c r="G101" s="1"/>
      <c r="H101" s="1"/>
      <c r="I101" s="1"/>
      <c r="J101" s="1"/>
      <c r="K101" s="1"/>
      <c r="L101" s="1"/>
      <c r="M101" s="1"/>
      <c r="N101" s="1"/>
      <c r="O101" s="1"/>
      <c r="P101" s="1"/>
      <c r="Q101" s="1"/>
      <c r="R101" s="1"/>
      <c r="S101" s="1"/>
      <c r="T101" s="1"/>
      <c r="U101" s="1"/>
      <c r="V101" s="1"/>
      <c r="W101" s="1"/>
      <c r="X101" s="1"/>
      <c r="Y101" s="1"/>
      <c r="Z101" s="1"/>
    </row>
    <row r="102" spans="1:26" ht="15.75" customHeight="1">
      <c r="A102" s="43"/>
      <c r="B102" s="18" t="s">
        <v>236</v>
      </c>
      <c r="C102" s="19" t="s">
        <v>237</v>
      </c>
      <c r="D102" s="20" t="s">
        <v>23</v>
      </c>
      <c r="E102" s="21"/>
      <c r="F102" s="21"/>
      <c r="G102" s="1"/>
      <c r="H102" s="1"/>
      <c r="I102" s="1"/>
      <c r="J102" s="1"/>
      <c r="K102" s="1"/>
      <c r="L102" s="1"/>
      <c r="M102" s="1"/>
      <c r="N102" s="1"/>
      <c r="O102" s="1"/>
      <c r="P102" s="1"/>
      <c r="Q102" s="1"/>
      <c r="R102" s="1"/>
      <c r="S102" s="1"/>
      <c r="T102" s="1"/>
      <c r="U102" s="1"/>
      <c r="V102" s="1"/>
      <c r="W102" s="1"/>
      <c r="X102" s="1"/>
      <c r="Y102" s="1"/>
      <c r="Z102" s="1"/>
    </row>
    <row r="103" spans="1:26" ht="15.75" customHeight="1">
      <c r="A103" s="43"/>
      <c r="B103" s="18" t="s">
        <v>238</v>
      </c>
      <c r="C103" s="19" t="s">
        <v>239</v>
      </c>
      <c r="D103" s="20" t="s">
        <v>23</v>
      </c>
      <c r="E103" s="21"/>
      <c r="F103" s="21"/>
      <c r="G103" s="1"/>
      <c r="H103" s="1"/>
      <c r="I103" s="1"/>
      <c r="J103" s="1"/>
      <c r="K103" s="1"/>
      <c r="L103" s="1"/>
      <c r="M103" s="1"/>
      <c r="N103" s="1"/>
      <c r="O103" s="1"/>
      <c r="P103" s="1"/>
      <c r="Q103" s="1"/>
      <c r="R103" s="1"/>
      <c r="S103" s="1"/>
      <c r="T103" s="1"/>
      <c r="U103" s="1"/>
      <c r="V103" s="1"/>
      <c r="W103" s="1"/>
      <c r="X103" s="1"/>
      <c r="Y103" s="1"/>
      <c r="Z103" s="1"/>
    </row>
    <row r="104" spans="1:26" ht="15.75" customHeight="1">
      <c r="A104" s="43"/>
      <c r="B104" s="18" t="s">
        <v>240</v>
      </c>
      <c r="C104" s="19" t="s">
        <v>241</v>
      </c>
      <c r="D104" s="20" t="s">
        <v>23</v>
      </c>
      <c r="E104" s="21"/>
      <c r="F104" s="21"/>
      <c r="G104" s="1"/>
      <c r="H104" s="1"/>
      <c r="I104" s="1"/>
      <c r="J104" s="1"/>
      <c r="K104" s="1"/>
      <c r="L104" s="1"/>
      <c r="M104" s="1"/>
      <c r="N104" s="1"/>
      <c r="O104" s="1"/>
      <c r="P104" s="1"/>
      <c r="Q104" s="1"/>
      <c r="R104" s="1"/>
      <c r="S104" s="1"/>
      <c r="T104" s="1"/>
      <c r="U104" s="1"/>
      <c r="V104" s="1"/>
      <c r="W104" s="1"/>
      <c r="X104" s="1"/>
      <c r="Y104" s="1"/>
      <c r="Z104" s="1"/>
    </row>
    <row r="105" spans="1:26" ht="15.75" customHeight="1">
      <c r="A105" s="43"/>
      <c r="B105" s="18" t="s">
        <v>242</v>
      </c>
      <c r="C105" s="19" t="s">
        <v>243</v>
      </c>
      <c r="D105" s="20" t="s">
        <v>53</v>
      </c>
      <c r="E105" s="21" t="s">
        <v>244</v>
      </c>
      <c r="F105" s="21"/>
      <c r="G105" s="1"/>
      <c r="H105" s="1"/>
      <c r="I105" s="1"/>
      <c r="J105" s="1"/>
      <c r="K105" s="1"/>
      <c r="L105" s="1"/>
      <c r="M105" s="1"/>
      <c r="N105" s="1"/>
      <c r="O105" s="1"/>
      <c r="P105" s="1"/>
      <c r="Q105" s="1"/>
      <c r="R105" s="1"/>
      <c r="S105" s="1"/>
      <c r="T105" s="1"/>
      <c r="U105" s="1"/>
      <c r="V105" s="1"/>
      <c r="W105" s="1"/>
      <c r="X105" s="1"/>
      <c r="Y105" s="1"/>
      <c r="Z105" s="1"/>
    </row>
    <row r="106" spans="1:26" ht="15.75" customHeight="1">
      <c r="A106" s="43"/>
      <c r="B106" s="18" t="s">
        <v>245</v>
      </c>
      <c r="C106" s="19" t="s">
        <v>246</v>
      </c>
      <c r="D106" s="20" t="s">
        <v>23</v>
      </c>
      <c r="E106" s="21"/>
      <c r="F106" s="21"/>
      <c r="G106" s="1"/>
      <c r="H106" s="1"/>
      <c r="I106" s="1"/>
      <c r="J106" s="1"/>
      <c r="K106" s="1"/>
      <c r="L106" s="1"/>
      <c r="M106" s="1"/>
      <c r="N106" s="1"/>
      <c r="O106" s="1"/>
      <c r="P106" s="1"/>
      <c r="Q106" s="1"/>
      <c r="R106" s="1"/>
      <c r="S106" s="1"/>
      <c r="T106" s="1"/>
      <c r="U106" s="1"/>
      <c r="V106" s="1"/>
      <c r="W106" s="1"/>
      <c r="X106" s="1"/>
      <c r="Y106" s="1"/>
      <c r="Z106" s="1"/>
    </row>
    <row r="107" spans="1:26" ht="15.75" customHeight="1">
      <c r="A107" s="44"/>
      <c r="B107" s="18" t="s">
        <v>247</v>
      </c>
      <c r="C107" s="19" t="s">
        <v>248</v>
      </c>
      <c r="D107" s="20" t="s">
        <v>23</v>
      </c>
      <c r="E107" s="21"/>
      <c r="F107" s="21"/>
      <c r="G107" s="1"/>
      <c r="H107" s="1"/>
      <c r="I107" s="1"/>
      <c r="J107" s="1"/>
      <c r="K107" s="1"/>
      <c r="L107" s="1"/>
      <c r="M107" s="1"/>
      <c r="N107" s="1"/>
      <c r="O107" s="1"/>
      <c r="P107" s="1"/>
      <c r="Q107" s="1"/>
      <c r="R107" s="1"/>
      <c r="S107" s="1"/>
      <c r="T107" s="1"/>
      <c r="U107" s="1"/>
      <c r="V107" s="1"/>
      <c r="W107" s="1"/>
      <c r="X107" s="1"/>
      <c r="Y107" s="1"/>
      <c r="Z107" s="1"/>
    </row>
    <row r="108" spans="1:26" ht="15.75" customHeight="1">
      <c r="A108" s="42" t="s">
        <v>249</v>
      </c>
      <c r="B108" s="18" t="s">
        <v>250</v>
      </c>
      <c r="C108" s="19" t="s">
        <v>251</v>
      </c>
      <c r="D108" s="20" t="s">
        <v>23</v>
      </c>
      <c r="E108" s="21"/>
      <c r="F108" s="21"/>
      <c r="G108" s="1"/>
      <c r="H108" s="1"/>
      <c r="I108" s="1"/>
      <c r="J108" s="1"/>
      <c r="K108" s="1"/>
      <c r="L108" s="1"/>
      <c r="M108" s="1"/>
      <c r="N108" s="1"/>
      <c r="O108" s="1"/>
      <c r="P108" s="1"/>
      <c r="Q108" s="1"/>
      <c r="R108" s="1"/>
      <c r="S108" s="1"/>
      <c r="T108" s="1"/>
      <c r="U108" s="1"/>
      <c r="V108" s="1"/>
      <c r="W108" s="1"/>
      <c r="X108" s="1"/>
      <c r="Y108" s="1"/>
      <c r="Z108" s="1"/>
    </row>
    <row r="109" spans="1:26" ht="15.75" customHeight="1">
      <c r="A109" s="43"/>
      <c r="B109" s="18" t="s">
        <v>252</v>
      </c>
      <c r="C109" s="19" t="s">
        <v>253</v>
      </c>
      <c r="D109" s="20" t="s">
        <v>23</v>
      </c>
      <c r="E109" s="21"/>
      <c r="F109" s="21"/>
      <c r="G109" s="1"/>
      <c r="H109" s="1"/>
      <c r="I109" s="1"/>
      <c r="J109" s="1"/>
      <c r="K109" s="1"/>
      <c r="L109" s="1"/>
      <c r="M109" s="1"/>
      <c r="N109" s="1"/>
      <c r="O109" s="1"/>
      <c r="P109" s="1"/>
      <c r="Q109" s="1"/>
      <c r="R109" s="1"/>
      <c r="S109" s="1"/>
      <c r="T109" s="1"/>
      <c r="U109" s="1"/>
      <c r="V109" s="1"/>
      <c r="W109" s="1"/>
      <c r="X109" s="1"/>
      <c r="Y109" s="1"/>
      <c r="Z109" s="1"/>
    </row>
    <row r="110" spans="1:26" ht="15.75" customHeight="1">
      <c r="A110" s="43"/>
      <c r="B110" s="18" t="s">
        <v>254</v>
      </c>
      <c r="C110" s="19" t="s">
        <v>255</v>
      </c>
      <c r="D110" s="20" t="s">
        <v>23</v>
      </c>
      <c r="E110" s="21"/>
      <c r="F110" s="21"/>
      <c r="G110" s="1"/>
      <c r="H110" s="1"/>
      <c r="I110" s="1"/>
      <c r="J110" s="1"/>
      <c r="K110" s="1"/>
      <c r="L110" s="1"/>
      <c r="M110" s="1"/>
      <c r="N110" s="1"/>
      <c r="O110" s="1"/>
      <c r="P110" s="1"/>
      <c r="Q110" s="1"/>
      <c r="R110" s="1"/>
      <c r="S110" s="1"/>
      <c r="T110" s="1"/>
      <c r="U110" s="1"/>
      <c r="V110" s="1"/>
      <c r="W110" s="1"/>
      <c r="X110" s="1"/>
      <c r="Y110" s="1"/>
      <c r="Z110" s="1"/>
    </row>
    <row r="111" spans="1:26" ht="15.75" customHeight="1">
      <c r="A111" s="43"/>
      <c r="B111" s="18" t="s">
        <v>256</v>
      </c>
      <c r="C111" s="19" t="s">
        <v>257</v>
      </c>
      <c r="D111" s="20" t="s">
        <v>23</v>
      </c>
      <c r="E111" s="21"/>
      <c r="F111" s="21"/>
      <c r="G111" s="1"/>
      <c r="H111" s="1"/>
      <c r="I111" s="1"/>
      <c r="J111" s="1"/>
      <c r="K111" s="1"/>
      <c r="L111" s="1"/>
      <c r="M111" s="1"/>
      <c r="N111" s="1"/>
      <c r="O111" s="1"/>
      <c r="P111" s="1"/>
      <c r="Q111" s="1"/>
      <c r="R111" s="1"/>
      <c r="S111" s="1"/>
      <c r="T111" s="1"/>
      <c r="U111" s="1"/>
      <c r="V111" s="1"/>
      <c r="W111" s="1"/>
      <c r="X111" s="1"/>
      <c r="Y111" s="1"/>
      <c r="Z111" s="1"/>
    </row>
    <row r="112" spans="1:26" ht="15.75" customHeight="1">
      <c r="A112" s="43"/>
      <c r="B112" s="18" t="s">
        <v>258</v>
      </c>
      <c r="C112" s="19" t="s">
        <v>259</v>
      </c>
      <c r="D112" s="20" t="s">
        <v>23</v>
      </c>
      <c r="E112" s="21"/>
      <c r="F112" s="21"/>
      <c r="G112" s="1"/>
      <c r="H112" s="1"/>
      <c r="I112" s="1"/>
      <c r="J112" s="1"/>
      <c r="K112" s="1"/>
      <c r="L112" s="1"/>
      <c r="M112" s="1"/>
      <c r="N112" s="1"/>
      <c r="O112" s="1"/>
      <c r="P112" s="1"/>
      <c r="Q112" s="1"/>
      <c r="R112" s="1"/>
      <c r="S112" s="1"/>
      <c r="T112" s="1"/>
      <c r="U112" s="1"/>
      <c r="V112" s="1"/>
      <c r="W112" s="1"/>
      <c r="X112" s="1"/>
      <c r="Y112" s="1"/>
      <c r="Z112" s="1"/>
    </row>
    <row r="113" spans="1:26" ht="15.75" customHeight="1">
      <c r="A113" s="43"/>
      <c r="B113" s="18" t="s">
        <v>260</v>
      </c>
      <c r="C113" s="19" t="s">
        <v>261</v>
      </c>
      <c r="D113" s="20" t="s">
        <v>23</v>
      </c>
      <c r="E113" s="21"/>
      <c r="F113" s="21"/>
      <c r="G113" s="1"/>
      <c r="H113" s="1"/>
      <c r="I113" s="1"/>
      <c r="J113" s="1"/>
      <c r="K113" s="1"/>
      <c r="L113" s="1"/>
      <c r="M113" s="1"/>
      <c r="N113" s="1"/>
      <c r="O113" s="1"/>
      <c r="P113" s="1"/>
      <c r="Q113" s="1"/>
      <c r="R113" s="1"/>
      <c r="S113" s="1"/>
      <c r="T113" s="1"/>
      <c r="U113" s="1"/>
      <c r="V113" s="1"/>
      <c r="W113" s="1"/>
      <c r="X113" s="1"/>
      <c r="Y113" s="1"/>
      <c r="Z113" s="1"/>
    </row>
    <row r="114" spans="1:26" ht="15.75" customHeight="1">
      <c r="A114" s="43"/>
      <c r="B114" s="18" t="s">
        <v>262</v>
      </c>
      <c r="C114" s="19" t="s">
        <v>263</v>
      </c>
      <c r="D114" s="20" t="s">
        <v>23</v>
      </c>
      <c r="E114" s="21"/>
      <c r="F114" s="21"/>
      <c r="G114" s="1"/>
      <c r="H114" s="1"/>
      <c r="I114" s="1"/>
      <c r="J114" s="1"/>
      <c r="K114" s="1"/>
      <c r="L114" s="1"/>
      <c r="M114" s="1"/>
      <c r="N114" s="1"/>
      <c r="O114" s="1"/>
      <c r="P114" s="1"/>
      <c r="Q114" s="1"/>
      <c r="R114" s="1"/>
      <c r="S114" s="1"/>
      <c r="T114" s="1"/>
      <c r="U114" s="1"/>
      <c r="V114" s="1"/>
      <c r="W114" s="1"/>
      <c r="X114" s="1"/>
      <c r="Y114" s="1"/>
      <c r="Z114" s="1"/>
    </row>
    <row r="115" spans="1:26" ht="15.75" customHeight="1">
      <c r="A115" s="43"/>
      <c r="B115" s="18" t="s">
        <v>264</v>
      </c>
      <c r="C115" s="19" t="s">
        <v>265</v>
      </c>
      <c r="D115" s="20" t="s">
        <v>23</v>
      </c>
      <c r="E115" s="21"/>
      <c r="F115" s="21"/>
      <c r="G115" s="1"/>
      <c r="H115" s="1"/>
      <c r="I115" s="1"/>
      <c r="J115" s="1"/>
      <c r="K115" s="1"/>
      <c r="L115" s="1"/>
      <c r="M115" s="1"/>
      <c r="N115" s="1"/>
      <c r="O115" s="1"/>
      <c r="P115" s="1"/>
      <c r="Q115" s="1"/>
      <c r="R115" s="1"/>
      <c r="S115" s="1"/>
      <c r="T115" s="1"/>
      <c r="U115" s="1"/>
      <c r="V115" s="1"/>
      <c r="W115" s="1"/>
      <c r="X115" s="1"/>
      <c r="Y115" s="1"/>
      <c r="Z115" s="1"/>
    </row>
    <row r="116" spans="1:26" ht="15.75" customHeight="1">
      <c r="A116" s="43"/>
      <c r="B116" s="18" t="s">
        <v>266</v>
      </c>
      <c r="C116" s="19" t="s">
        <v>267</v>
      </c>
      <c r="D116" s="20" t="s">
        <v>23</v>
      </c>
      <c r="E116" s="21"/>
      <c r="F116" s="21"/>
      <c r="G116" s="1"/>
      <c r="H116" s="1"/>
      <c r="I116" s="1"/>
      <c r="J116" s="1"/>
      <c r="K116" s="1"/>
      <c r="L116" s="1"/>
      <c r="M116" s="1"/>
      <c r="N116" s="1"/>
      <c r="O116" s="1"/>
      <c r="P116" s="1"/>
      <c r="Q116" s="1"/>
      <c r="R116" s="1"/>
      <c r="S116" s="1"/>
      <c r="T116" s="1"/>
      <c r="U116" s="1"/>
      <c r="V116" s="1"/>
      <c r="W116" s="1"/>
      <c r="X116" s="1"/>
      <c r="Y116" s="1"/>
      <c r="Z116" s="1"/>
    </row>
    <row r="117" spans="1:26" ht="15.75" customHeight="1">
      <c r="A117" s="43"/>
      <c r="B117" s="18" t="s">
        <v>268</v>
      </c>
      <c r="C117" s="19" t="s">
        <v>269</v>
      </c>
      <c r="D117" s="20" t="s">
        <v>23</v>
      </c>
      <c r="E117" s="21"/>
      <c r="F117" s="21"/>
      <c r="G117" s="1"/>
      <c r="H117" s="1"/>
      <c r="I117" s="1"/>
      <c r="J117" s="1"/>
      <c r="K117" s="1"/>
      <c r="L117" s="1"/>
      <c r="M117" s="1"/>
      <c r="N117" s="1"/>
      <c r="O117" s="1"/>
      <c r="P117" s="1"/>
      <c r="Q117" s="1"/>
      <c r="R117" s="1"/>
      <c r="S117" s="1"/>
      <c r="T117" s="1"/>
      <c r="U117" s="1"/>
      <c r="V117" s="1"/>
      <c r="W117" s="1"/>
      <c r="X117" s="1"/>
      <c r="Y117" s="1"/>
      <c r="Z117" s="1"/>
    </row>
    <row r="118" spans="1:26" ht="15.75" customHeight="1">
      <c r="A118" s="43"/>
      <c r="B118" s="18" t="s">
        <v>270</v>
      </c>
      <c r="C118" s="19" t="s">
        <v>271</v>
      </c>
      <c r="D118" s="20" t="s">
        <v>23</v>
      </c>
      <c r="E118" s="21"/>
      <c r="F118" s="21"/>
      <c r="G118" s="1"/>
      <c r="H118" s="1"/>
      <c r="I118" s="1"/>
      <c r="J118" s="1"/>
      <c r="K118" s="1"/>
      <c r="L118" s="1"/>
      <c r="M118" s="1"/>
      <c r="N118" s="1"/>
      <c r="O118" s="1"/>
      <c r="P118" s="1"/>
      <c r="Q118" s="1"/>
      <c r="R118" s="1"/>
      <c r="S118" s="1"/>
      <c r="T118" s="1"/>
      <c r="U118" s="1"/>
      <c r="V118" s="1"/>
      <c r="W118" s="1"/>
      <c r="X118" s="1"/>
      <c r="Y118" s="1"/>
      <c r="Z118" s="1"/>
    </row>
    <row r="119" spans="1:26" ht="15.75" customHeight="1">
      <c r="A119" s="44"/>
      <c r="B119" s="18" t="s">
        <v>272</v>
      </c>
      <c r="C119" s="19" t="s">
        <v>273</v>
      </c>
      <c r="D119" s="20" t="s">
        <v>23</v>
      </c>
      <c r="E119" s="21"/>
      <c r="F119" s="2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2"/>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2"/>
      <c r="G121" s="1"/>
      <c r="H121" s="1"/>
      <c r="I121" s="1"/>
      <c r="J121" s="1"/>
      <c r="K121" s="1"/>
      <c r="L121" s="1"/>
      <c r="M121" s="1"/>
      <c r="N121" s="1"/>
      <c r="O121" s="1"/>
      <c r="P121" s="1"/>
      <c r="Q121" s="1"/>
      <c r="R121" s="1"/>
      <c r="S121" s="1"/>
      <c r="T121" s="1"/>
      <c r="U121" s="1"/>
      <c r="V121" s="1"/>
      <c r="W121" s="1"/>
      <c r="X121" s="1"/>
      <c r="Y121" s="1"/>
      <c r="Z121" s="1"/>
    </row>
    <row r="122" spans="1:26" ht="15.75" customHeight="1">
      <c r="A122" s="46" t="s">
        <v>274</v>
      </c>
      <c r="B122" s="38"/>
      <c r="C122" s="38"/>
      <c r="D122" s="39"/>
      <c r="E122" s="30" t="s">
        <v>275</v>
      </c>
      <c r="F122" s="2"/>
      <c r="G122" s="1"/>
      <c r="H122" s="1"/>
      <c r="I122" s="1"/>
      <c r="J122" s="1"/>
      <c r="K122" s="1"/>
      <c r="L122" s="1"/>
      <c r="M122" s="1"/>
      <c r="N122" s="1"/>
      <c r="O122" s="1"/>
      <c r="P122" s="1"/>
      <c r="Q122" s="1"/>
      <c r="R122" s="1"/>
      <c r="S122" s="1"/>
      <c r="T122" s="1"/>
      <c r="U122" s="1"/>
      <c r="V122" s="1"/>
      <c r="W122" s="1"/>
      <c r="X122" s="1"/>
      <c r="Y122" s="1"/>
      <c r="Z122" s="1"/>
    </row>
    <row r="123" spans="1:26" ht="33.75" customHeight="1">
      <c r="A123" s="45" t="s">
        <v>276</v>
      </c>
      <c r="B123" s="38"/>
      <c r="C123" s="38"/>
      <c r="D123" s="39"/>
      <c r="E123" s="31" t="s">
        <v>277</v>
      </c>
      <c r="F123" s="2"/>
      <c r="G123" s="1"/>
      <c r="H123" s="1"/>
      <c r="I123" s="1"/>
      <c r="J123" s="1"/>
      <c r="K123" s="1"/>
      <c r="L123" s="1"/>
      <c r="M123" s="1"/>
      <c r="N123" s="1"/>
      <c r="O123" s="1"/>
      <c r="P123" s="1"/>
      <c r="Q123" s="1"/>
      <c r="R123" s="1"/>
      <c r="S123" s="1"/>
      <c r="T123" s="1"/>
      <c r="U123" s="1"/>
      <c r="V123" s="1"/>
      <c r="W123" s="1"/>
      <c r="X123" s="1"/>
      <c r="Y123" s="1"/>
      <c r="Z123" s="1"/>
    </row>
    <row r="124" spans="1:26" ht="33.75" customHeight="1">
      <c r="A124" s="45" t="s">
        <v>278</v>
      </c>
      <c r="B124" s="38"/>
      <c r="C124" s="38"/>
      <c r="D124" s="39"/>
      <c r="E124" s="32" t="s">
        <v>279</v>
      </c>
      <c r="F124" s="2"/>
      <c r="G124" s="1"/>
      <c r="H124" s="1"/>
      <c r="I124" s="1"/>
      <c r="J124" s="1"/>
      <c r="K124" s="1"/>
      <c r="L124" s="1"/>
      <c r="M124" s="1"/>
      <c r="N124" s="1"/>
      <c r="O124" s="1"/>
      <c r="P124" s="1"/>
      <c r="Q124" s="1"/>
      <c r="R124" s="1"/>
      <c r="S124" s="1"/>
      <c r="T124" s="1"/>
      <c r="U124" s="1"/>
      <c r="V124" s="1"/>
      <c r="W124" s="1"/>
      <c r="X124" s="1"/>
      <c r="Y124" s="1"/>
      <c r="Z124" s="1"/>
    </row>
    <row r="125" spans="1:26" ht="33.75" customHeight="1">
      <c r="A125" s="45" t="s">
        <v>280</v>
      </c>
      <c r="B125" s="38"/>
      <c r="C125" s="38"/>
      <c r="D125" s="39"/>
      <c r="E125" s="31" t="s">
        <v>281</v>
      </c>
      <c r="F125" s="2"/>
      <c r="G125" s="1"/>
      <c r="H125" s="1"/>
      <c r="I125" s="1"/>
      <c r="J125" s="1"/>
      <c r="K125" s="1"/>
      <c r="L125" s="1"/>
      <c r="M125" s="1"/>
      <c r="N125" s="1"/>
      <c r="O125" s="1"/>
      <c r="P125" s="1"/>
      <c r="Q125" s="1"/>
      <c r="R125" s="1"/>
      <c r="S125" s="1"/>
      <c r="T125" s="1"/>
      <c r="U125" s="1"/>
      <c r="V125" s="1"/>
      <c r="W125" s="1"/>
      <c r="X125" s="1"/>
      <c r="Y125" s="1"/>
      <c r="Z125" s="1"/>
    </row>
    <row r="126" spans="1:26" ht="327.75" customHeight="1">
      <c r="A126" s="45" t="s">
        <v>282</v>
      </c>
      <c r="B126" s="38"/>
      <c r="C126" s="38"/>
      <c r="D126" s="39"/>
      <c r="E126" s="31" t="s">
        <v>283</v>
      </c>
      <c r="F126" s="2"/>
      <c r="G126" s="1"/>
      <c r="H126" s="1"/>
      <c r="I126" s="1"/>
      <c r="J126" s="1"/>
      <c r="K126" s="1"/>
      <c r="L126" s="1"/>
      <c r="M126" s="1"/>
      <c r="N126" s="1"/>
      <c r="O126" s="1"/>
      <c r="P126" s="1"/>
      <c r="Q126" s="1"/>
      <c r="R126" s="1"/>
      <c r="S126" s="1"/>
      <c r="T126" s="1"/>
      <c r="U126" s="1"/>
      <c r="V126" s="1"/>
      <c r="W126" s="1"/>
      <c r="X126" s="1"/>
      <c r="Y126" s="1"/>
      <c r="Z126" s="1"/>
    </row>
    <row r="127" spans="1:26" ht="138" customHeight="1">
      <c r="A127" s="45" t="s">
        <v>284</v>
      </c>
      <c r="B127" s="38"/>
      <c r="C127" s="38"/>
      <c r="D127" s="39"/>
      <c r="E127" s="31" t="s">
        <v>283</v>
      </c>
      <c r="F127" s="2"/>
      <c r="G127" s="1"/>
      <c r="H127" s="1"/>
      <c r="I127" s="1"/>
      <c r="J127" s="1"/>
      <c r="K127" s="1"/>
      <c r="L127" s="1"/>
      <c r="M127" s="1"/>
      <c r="N127" s="1"/>
      <c r="O127" s="1"/>
      <c r="P127" s="1"/>
      <c r="Q127" s="1"/>
      <c r="R127" s="1"/>
      <c r="S127" s="1"/>
      <c r="T127" s="1"/>
      <c r="U127" s="1"/>
      <c r="V127" s="1"/>
      <c r="W127" s="1"/>
      <c r="X127" s="1"/>
      <c r="Y127" s="1"/>
      <c r="Z127" s="1"/>
    </row>
    <row r="128" spans="1:26" ht="48.75" customHeight="1">
      <c r="A128" s="45" t="s">
        <v>285</v>
      </c>
      <c r="B128" s="38"/>
      <c r="C128" s="38"/>
      <c r="D128" s="39"/>
      <c r="E128" s="31" t="s">
        <v>283</v>
      </c>
      <c r="F128" s="2"/>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2"/>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2"/>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2"/>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2"/>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2"/>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2"/>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2"/>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2"/>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2"/>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2"/>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2"/>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2"/>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2"/>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2"/>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2"/>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2"/>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2"/>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2"/>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2"/>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2"/>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2"/>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2"/>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2"/>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2"/>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2"/>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2"/>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2"/>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2"/>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2"/>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2"/>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2"/>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2"/>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2"/>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2"/>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2"/>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2"/>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2"/>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2"/>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2"/>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2"/>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2"/>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2"/>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2"/>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2"/>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2"/>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2"/>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2"/>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2"/>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2"/>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2"/>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2"/>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2"/>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2"/>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2"/>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2"/>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2"/>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2"/>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2"/>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2"/>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2"/>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2"/>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2"/>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2"/>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2"/>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2"/>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2"/>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2"/>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2"/>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2"/>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2"/>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2"/>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2"/>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2"/>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2"/>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2"/>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2"/>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2"/>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2"/>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2"/>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2"/>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2"/>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2"/>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2"/>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2"/>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2"/>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2"/>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2"/>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2"/>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2"/>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2"/>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2"/>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2"/>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2"/>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2"/>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2"/>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2"/>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2"/>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2"/>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2"/>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2"/>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2"/>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2"/>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2"/>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2"/>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2"/>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2"/>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2"/>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2"/>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2"/>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2"/>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2"/>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2"/>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2"/>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2"/>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2"/>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2"/>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2"/>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2"/>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2"/>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2"/>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2"/>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2"/>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2"/>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2"/>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2"/>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2"/>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2"/>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2"/>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2"/>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2"/>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2"/>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2"/>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2"/>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2"/>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2"/>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2"/>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2"/>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2"/>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2"/>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2"/>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2"/>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2"/>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2"/>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2"/>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2"/>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2"/>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2"/>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2"/>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2"/>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2"/>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2"/>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2"/>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2"/>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2"/>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2"/>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2"/>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2"/>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2"/>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2"/>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2"/>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2"/>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2"/>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2"/>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2"/>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2"/>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2"/>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2"/>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2"/>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2"/>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2"/>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2"/>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2"/>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2"/>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2"/>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2"/>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2"/>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2"/>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2"/>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2"/>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2"/>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2"/>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2"/>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2"/>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2"/>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2"/>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2"/>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2"/>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2"/>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2"/>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2"/>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2"/>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2"/>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2"/>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2"/>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2"/>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2"/>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2"/>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2"/>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2"/>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2"/>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2"/>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2"/>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2"/>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2"/>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2"/>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2"/>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2"/>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2"/>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2"/>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2"/>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2"/>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2"/>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2"/>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2"/>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2"/>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2"/>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2"/>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2"/>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2"/>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2"/>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2"/>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2"/>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2"/>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2"/>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2"/>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2"/>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2"/>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2"/>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2"/>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2"/>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2"/>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2"/>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2"/>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2"/>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2"/>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2"/>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2"/>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2"/>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2"/>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2"/>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2"/>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2"/>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2"/>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2"/>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2"/>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2"/>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2"/>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2"/>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2"/>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2"/>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2"/>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2"/>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2"/>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2"/>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2"/>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2"/>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2"/>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2"/>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2"/>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2"/>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2"/>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2"/>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2"/>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2"/>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2"/>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2"/>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2"/>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2"/>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2"/>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2"/>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2"/>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2"/>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2"/>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2"/>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2"/>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2"/>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2"/>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2"/>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2"/>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2"/>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2"/>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2"/>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2"/>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2"/>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2"/>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2"/>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2"/>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2"/>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2"/>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2"/>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2"/>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2"/>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2"/>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2"/>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2"/>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2"/>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2"/>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2"/>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2"/>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2"/>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2"/>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2"/>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2"/>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2"/>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2"/>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2"/>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2"/>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2"/>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2"/>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2"/>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2"/>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2"/>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2"/>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2"/>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2"/>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2"/>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2"/>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2"/>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2"/>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2"/>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2"/>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2"/>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2"/>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2"/>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2"/>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2"/>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2"/>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2"/>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2"/>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2"/>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2"/>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2"/>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2"/>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2"/>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2"/>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2"/>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2"/>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2"/>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2"/>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2"/>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2"/>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2"/>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2"/>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2"/>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2"/>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2"/>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2"/>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2"/>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2"/>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2"/>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2"/>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2"/>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2"/>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2"/>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2"/>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2"/>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2"/>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2"/>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2"/>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2"/>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2"/>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2"/>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2"/>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2"/>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2"/>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2"/>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2"/>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2"/>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2"/>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2"/>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2"/>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2"/>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2"/>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2"/>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2"/>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2"/>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2"/>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2"/>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2"/>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2"/>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2"/>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2"/>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2"/>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2"/>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2"/>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2"/>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2"/>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2"/>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2"/>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2"/>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2"/>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2"/>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2"/>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2"/>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2"/>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2"/>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2"/>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2"/>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2"/>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2"/>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2"/>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2"/>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2"/>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2"/>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2"/>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2"/>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2"/>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2"/>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2"/>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2"/>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2"/>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2"/>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2"/>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2"/>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2"/>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2"/>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2"/>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2"/>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2"/>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2"/>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2"/>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2"/>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2"/>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2"/>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2"/>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2"/>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2"/>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2"/>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2"/>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2"/>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2"/>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2"/>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2"/>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2"/>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2"/>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2"/>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2"/>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2"/>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2"/>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2"/>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2"/>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2"/>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2"/>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2"/>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2"/>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2"/>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2"/>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2"/>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2"/>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2"/>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2"/>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2"/>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2"/>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2"/>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2"/>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2"/>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2"/>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2"/>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2"/>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2"/>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2"/>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2"/>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2"/>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2"/>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2"/>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2"/>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2"/>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2"/>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2"/>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2"/>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2"/>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2"/>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2"/>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2"/>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2"/>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2"/>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2"/>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2"/>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2"/>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2"/>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2"/>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2"/>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2"/>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2"/>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2"/>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2"/>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2"/>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2"/>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2"/>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2"/>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2"/>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2"/>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2"/>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2"/>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2"/>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2"/>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2"/>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2"/>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2"/>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2"/>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2"/>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2"/>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2"/>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2"/>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2"/>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2"/>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2"/>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2"/>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2"/>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2"/>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2"/>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2"/>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2"/>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2"/>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2"/>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2"/>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2"/>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2"/>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2"/>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2"/>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2"/>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2"/>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2"/>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2"/>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2"/>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2"/>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2"/>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2"/>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2"/>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2"/>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2"/>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2"/>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2"/>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2"/>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2"/>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2"/>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2"/>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2"/>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2"/>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2"/>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2"/>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2"/>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2"/>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2"/>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2"/>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2"/>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2"/>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2"/>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2"/>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2"/>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2"/>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2"/>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2"/>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2"/>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2"/>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2"/>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2"/>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2"/>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2"/>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2"/>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2"/>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2"/>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2"/>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2"/>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2"/>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2"/>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2"/>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2"/>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2"/>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2"/>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2"/>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2"/>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2"/>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2"/>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2"/>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2"/>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2"/>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2"/>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2"/>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2"/>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2"/>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2"/>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2"/>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2"/>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2"/>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2"/>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2"/>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2"/>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2"/>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2"/>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2"/>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2"/>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2"/>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2"/>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2"/>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2"/>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2"/>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2"/>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2"/>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2"/>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2"/>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2"/>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2"/>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2"/>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2"/>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2"/>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2"/>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2"/>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2"/>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2"/>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2"/>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2"/>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2"/>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2"/>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2"/>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2"/>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2"/>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2"/>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2"/>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2"/>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2"/>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2"/>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2"/>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2"/>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2"/>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2"/>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2"/>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2"/>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2"/>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2"/>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2"/>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2"/>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2"/>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2"/>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2"/>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2"/>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2"/>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2"/>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2"/>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2"/>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2"/>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2"/>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2"/>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2"/>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2"/>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2"/>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2"/>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2"/>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2"/>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2"/>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2"/>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2"/>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2"/>
      <c r="G1000" s="1"/>
      <c r="H1000" s="1"/>
      <c r="I1000" s="1"/>
      <c r="J1000" s="1"/>
      <c r="K1000" s="1"/>
      <c r="L1000" s="1"/>
      <c r="M1000" s="1"/>
      <c r="N1000" s="1"/>
      <c r="O1000" s="1"/>
      <c r="P1000" s="1"/>
      <c r="Q1000" s="1"/>
      <c r="R1000" s="1"/>
      <c r="S1000" s="1"/>
      <c r="T1000" s="1"/>
      <c r="U1000" s="1"/>
      <c r="V1000" s="1"/>
      <c r="W1000" s="1"/>
      <c r="X1000" s="1"/>
      <c r="Y1000" s="1"/>
      <c r="Z1000" s="1"/>
    </row>
  </sheetData>
  <mergeCells count="31">
    <mergeCell ref="A70:A83"/>
    <mergeCell ref="A126:D126"/>
    <mergeCell ref="A127:D127"/>
    <mergeCell ref="A128:D128"/>
    <mergeCell ref="A84:A96"/>
    <mergeCell ref="A97:A107"/>
    <mergeCell ref="A108:A119"/>
    <mergeCell ref="A122:D122"/>
    <mergeCell ref="A123:D123"/>
    <mergeCell ref="A124:D124"/>
    <mergeCell ref="A125:D125"/>
    <mergeCell ref="A41:A48"/>
    <mergeCell ref="A49:A50"/>
    <mergeCell ref="A51:A55"/>
    <mergeCell ref="A56:A65"/>
    <mergeCell ref="A66:A69"/>
    <mergeCell ref="A11:C11"/>
    <mergeCell ref="A14:A22"/>
    <mergeCell ref="A23:A24"/>
    <mergeCell ref="A25:A27"/>
    <mergeCell ref="A28:A40"/>
    <mergeCell ref="A6:C6"/>
    <mergeCell ref="A7:C7"/>
    <mergeCell ref="A8:C8"/>
    <mergeCell ref="A9:C9"/>
    <mergeCell ref="A10:C10"/>
    <mergeCell ref="A1:D1"/>
    <mergeCell ref="A2:C2"/>
    <mergeCell ref="A3:C3"/>
    <mergeCell ref="A4:C4"/>
    <mergeCell ref="A5:C5"/>
  </mergeCells>
  <conditionalFormatting sqref="D14:E14 D15 D16:E119">
    <cfRule type="expression" dxfId="9" priority="1">
      <formula>$D14="Non testé"</formula>
    </cfRule>
  </conditionalFormatting>
  <conditionalFormatting sqref="D14:E119">
    <cfRule type="expression" dxfId="8" priority="2">
      <formula>$D14="Dérogé"</formula>
    </cfRule>
    <cfRule type="expression" dxfId="7" priority="3">
      <formula>$D14="Conforme"</formula>
    </cfRule>
    <cfRule type="expression" dxfId="6" priority="4">
      <formula>$D14="Non conforme"</formula>
    </cfRule>
  </conditionalFormatting>
  <conditionalFormatting sqref="E15">
    <cfRule type="expression" dxfId="5" priority="12">
      <formula>$D15="Non testé"</formula>
    </cfRule>
  </conditionalFormatting>
  <dataValidations count="1">
    <dataValidation type="list" allowBlank="1" showErrorMessage="1" sqref="D14:D119" xr:uid="{00000000-0002-0000-0000-000000000000}">
      <formula1>"Conforme,Non conforme,Non applicable,Dérogé,Non testé"</formula1>
    </dataValidation>
  </dataValidations>
  <hyperlinks>
    <hyperlink ref="F15" r:id="rId1" xr:uid="{00000000-0004-0000-0000-000000000000}"/>
    <hyperlink ref="F53" r:id="rId2" xr:uid="{00000000-0004-0000-0000-000001000000}"/>
    <hyperlink ref="E123" r:id="rId3" xr:uid="{00000000-0004-0000-0000-000002000000}"/>
    <hyperlink ref="E126" r:id="rId4" xr:uid="{00000000-0004-0000-0000-000003000000}"/>
    <hyperlink ref="E127" r:id="rId5" xr:uid="{00000000-0004-0000-0000-000004000000}"/>
    <hyperlink ref="E128" r:id="rId6" xr:uid="{00000000-0004-0000-0000-000005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EEFE3-CE9D-D043-AD35-E7606EE8ACB3}">
  <dimension ref="A1:Z1000"/>
  <sheetViews>
    <sheetView tabSelected="1" zoomScale="110" zoomScaleNormal="110" workbookViewId="0">
      <selection activeCell="J19" sqref="J19"/>
    </sheetView>
  </sheetViews>
  <sheetFormatPr baseColWidth="10" defaultColWidth="11.1640625" defaultRowHeight="16"/>
  <cols>
    <col min="1" max="1" width="15" customWidth="1"/>
    <col min="2" max="2" width="10.33203125" customWidth="1"/>
    <col min="3" max="3" width="59.83203125" customWidth="1"/>
    <col min="4" max="4" width="15.1640625" customWidth="1"/>
    <col min="5" max="5" width="106.6640625" customWidth="1"/>
    <col min="6" max="6" width="18.6640625" customWidth="1"/>
    <col min="7" max="26" width="10.83203125" customWidth="1"/>
  </cols>
  <sheetData>
    <row r="1" spans="1:26">
      <c r="A1" s="34" t="s">
        <v>0</v>
      </c>
      <c r="B1" s="35"/>
      <c r="C1" s="35"/>
      <c r="D1" s="36"/>
      <c r="E1" s="1"/>
      <c r="F1" s="2"/>
      <c r="G1" s="1"/>
      <c r="H1" s="1"/>
      <c r="I1" s="1"/>
      <c r="J1" s="1"/>
      <c r="K1" s="1"/>
      <c r="L1" s="1"/>
      <c r="M1" s="1"/>
      <c r="N1" s="1"/>
      <c r="O1" s="1"/>
      <c r="P1" s="1"/>
      <c r="Q1" s="1"/>
      <c r="R1" s="1"/>
      <c r="S1" s="1"/>
      <c r="T1" s="1"/>
      <c r="U1" s="1"/>
      <c r="V1" s="1"/>
      <c r="W1" s="1"/>
      <c r="X1" s="1"/>
      <c r="Y1" s="1"/>
      <c r="Z1" s="1"/>
    </row>
    <row r="2" spans="1:26" ht="19">
      <c r="A2" s="37" t="s">
        <v>1</v>
      </c>
      <c r="B2" s="38"/>
      <c r="C2" s="39"/>
      <c r="D2" s="3" t="s">
        <v>291</v>
      </c>
      <c r="E2" s="47" t="s">
        <v>298</v>
      </c>
      <c r="F2" s="4"/>
      <c r="G2" s="5"/>
      <c r="H2" s="5"/>
      <c r="I2" s="5"/>
      <c r="J2" s="5"/>
      <c r="K2" s="5"/>
      <c r="L2" s="5"/>
      <c r="M2" s="5"/>
      <c r="N2" s="5"/>
      <c r="O2" s="5"/>
      <c r="P2" s="5"/>
      <c r="Q2" s="5"/>
      <c r="R2" s="5"/>
      <c r="S2" s="5"/>
      <c r="T2" s="5"/>
      <c r="U2" s="5"/>
      <c r="V2" s="5"/>
      <c r="W2" s="5"/>
      <c r="X2" s="5"/>
      <c r="Y2" s="5"/>
      <c r="Z2" s="5"/>
    </row>
    <row r="3" spans="1:26" ht="19">
      <c r="A3" s="40" t="s">
        <v>3</v>
      </c>
      <c r="B3" s="38"/>
      <c r="C3" s="39"/>
      <c r="D3" s="6">
        <v>45862</v>
      </c>
      <c r="E3" s="48">
        <v>45874</v>
      </c>
      <c r="F3" s="7"/>
      <c r="G3" s="1"/>
      <c r="H3" s="1"/>
      <c r="I3" s="1"/>
      <c r="J3" s="1"/>
      <c r="K3" s="1"/>
      <c r="L3" s="1"/>
      <c r="M3" s="1"/>
      <c r="N3" s="1"/>
      <c r="O3" s="1"/>
      <c r="P3" s="1"/>
      <c r="Q3" s="1"/>
      <c r="R3" s="1"/>
      <c r="S3" s="1"/>
      <c r="T3" s="1"/>
      <c r="U3" s="1"/>
      <c r="V3" s="1"/>
      <c r="W3" s="1"/>
      <c r="X3" s="1"/>
      <c r="Y3" s="1"/>
      <c r="Z3" s="1"/>
    </row>
    <row r="4" spans="1:26" ht="19">
      <c r="A4" s="40" t="s">
        <v>4</v>
      </c>
      <c r="B4" s="38"/>
      <c r="C4" s="39"/>
      <c r="D4" s="8" t="s">
        <v>286</v>
      </c>
      <c r="E4" s="8" t="s">
        <v>297</v>
      </c>
      <c r="F4" s="10"/>
      <c r="G4" s="1"/>
      <c r="H4" s="1"/>
      <c r="I4" s="1"/>
      <c r="J4" s="1"/>
      <c r="K4" s="1"/>
      <c r="L4" s="1"/>
      <c r="M4" s="1"/>
      <c r="N4" s="1"/>
      <c r="O4" s="1"/>
      <c r="P4" s="1"/>
      <c r="Q4" s="1"/>
      <c r="R4" s="1"/>
      <c r="S4" s="1"/>
      <c r="T4" s="1"/>
      <c r="U4" s="1"/>
      <c r="V4" s="1"/>
      <c r="W4" s="1"/>
      <c r="X4" s="1"/>
      <c r="Y4" s="1"/>
      <c r="Z4" s="1"/>
    </row>
    <row r="5" spans="1:26" ht="19">
      <c r="A5" s="40" t="s">
        <v>7</v>
      </c>
      <c r="B5" s="38"/>
      <c r="C5" s="39"/>
      <c r="D5" s="11">
        <f>COUNTIF($D$14:$D$119,"Conforme")</f>
        <v>17</v>
      </c>
      <c r="E5" s="49">
        <v>21</v>
      </c>
      <c r="F5" s="2"/>
      <c r="G5" s="1"/>
      <c r="H5" s="1"/>
      <c r="I5" s="1"/>
      <c r="J5" s="1"/>
      <c r="K5" s="1"/>
      <c r="L5" s="1"/>
      <c r="M5" s="1"/>
      <c r="N5" s="1"/>
      <c r="O5" s="1"/>
      <c r="P5" s="1"/>
      <c r="Q5" s="1"/>
      <c r="R5" s="1"/>
      <c r="S5" s="1"/>
      <c r="T5" s="1"/>
      <c r="U5" s="1"/>
      <c r="V5" s="1"/>
      <c r="W5" s="1"/>
      <c r="X5" s="1"/>
      <c r="Y5" s="1"/>
      <c r="Z5" s="1"/>
    </row>
    <row r="6" spans="1:26" ht="19">
      <c r="A6" s="40" t="s">
        <v>8</v>
      </c>
      <c r="B6" s="38"/>
      <c r="C6" s="39"/>
      <c r="D6" s="11">
        <f>COUNTIF($D$14:$D$119,"Non conforme")</f>
        <v>4</v>
      </c>
      <c r="E6" s="49">
        <v>0</v>
      </c>
      <c r="F6" s="2"/>
      <c r="G6" s="1"/>
      <c r="H6" s="1"/>
      <c r="I6" s="1"/>
      <c r="J6" s="1"/>
      <c r="K6" s="1"/>
      <c r="L6" s="1"/>
      <c r="M6" s="1"/>
      <c r="N6" s="1"/>
      <c r="O6" s="1"/>
      <c r="P6" s="1"/>
      <c r="Q6" s="1"/>
      <c r="R6" s="1"/>
      <c r="S6" s="1"/>
      <c r="T6" s="1"/>
      <c r="U6" s="1"/>
      <c r="V6" s="1"/>
      <c r="W6" s="1"/>
      <c r="X6" s="1"/>
      <c r="Y6" s="1"/>
      <c r="Z6" s="1"/>
    </row>
    <row r="7" spans="1:26" ht="19">
      <c r="A7" s="40" t="s">
        <v>9</v>
      </c>
      <c r="B7" s="38"/>
      <c r="C7" s="39"/>
      <c r="D7" s="11">
        <f>COUNTIF($D$14:$D$119,"Non applicable")</f>
        <v>85</v>
      </c>
      <c r="E7" s="49">
        <v>85</v>
      </c>
      <c r="F7" s="2"/>
      <c r="G7" s="1"/>
      <c r="H7" s="1"/>
      <c r="I7" s="1"/>
      <c r="J7" s="1"/>
      <c r="K7" s="1"/>
      <c r="L7" s="1"/>
      <c r="M7" s="1"/>
      <c r="N7" s="1"/>
      <c r="O7" s="1"/>
      <c r="P7" s="1"/>
      <c r="Q7" s="1"/>
      <c r="R7" s="1"/>
      <c r="S7" s="1"/>
      <c r="T7" s="1"/>
      <c r="U7" s="1"/>
      <c r="V7" s="1"/>
      <c r="W7" s="1"/>
      <c r="X7" s="1"/>
      <c r="Y7" s="1"/>
      <c r="Z7" s="1"/>
    </row>
    <row r="8" spans="1:26" ht="19">
      <c r="A8" s="40" t="s">
        <v>10</v>
      </c>
      <c r="B8" s="38"/>
      <c r="C8" s="39"/>
      <c r="D8" s="11">
        <f>COUNTIF($D$14:$D$119,"Dérogé")</f>
        <v>0</v>
      </c>
      <c r="E8" s="49">
        <v>0</v>
      </c>
      <c r="F8" s="2"/>
      <c r="G8" s="1"/>
      <c r="H8" s="1"/>
      <c r="I8" s="1"/>
      <c r="J8" s="1"/>
      <c r="K8" s="1"/>
      <c r="L8" s="1"/>
      <c r="M8" s="1"/>
      <c r="N8" s="1"/>
      <c r="O8" s="1"/>
      <c r="P8" s="1"/>
      <c r="Q8" s="1"/>
      <c r="R8" s="1"/>
      <c r="S8" s="1"/>
      <c r="T8" s="1"/>
      <c r="U8" s="1"/>
      <c r="V8" s="1"/>
      <c r="W8" s="1"/>
      <c r="X8" s="1"/>
      <c r="Y8" s="1"/>
      <c r="Z8" s="1"/>
    </row>
    <row r="9" spans="1:26" ht="19">
      <c r="A9" s="40" t="s">
        <v>11</v>
      </c>
      <c r="B9" s="38"/>
      <c r="C9" s="39"/>
      <c r="D9" s="11">
        <f>COUNTIF($D$14:$D$119,"Non testé")</f>
        <v>0</v>
      </c>
      <c r="E9" s="49">
        <v>0</v>
      </c>
      <c r="F9" s="2"/>
      <c r="G9" s="1"/>
      <c r="H9" s="1"/>
      <c r="I9" s="1"/>
      <c r="J9" s="1"/>
      <c r="K9" s="1"/>
      <c r="L9" s="1"/>
      <c r="M9" s="1"/>
      <c r="N9" s="1"/>
      <c r="O9" s="1"/>
      <c r="P9" s="1"/>
      <c r="Q9" s="1"/>
      <c r="R9" s="1"/>
      <c r="S9" s="1"/>
      <c r="T9" s="1"/>
      <c r="U9" s="1"/>
      <c r="V9" s="1"/>
      <c r="W9" s="1"/>
      <c r="X9" s="1"/>
      <c r="Y9" s="1"/>
      <c r="Z9" s="1"/>
    </row>
    <row r="10" spans="1:26" ht="19">
      <c r="A10" s="41" t="s">
        <v>12</v>
      </c>
      <c r="B10" s="38"/>
      <c r="C10" s="39"/>
      <c r="D10" s="12">
        <f>IF(SUM(D5:D6)&gt;0,D5/SUM(D5:D6),"")</f>
        <v>0.80952380952380953</v>
      </c>
      <c r="E10" s="50">
        <v>1</v>
      </c>
      <c r="F10" s="13"/>
      <c r="G10" s="1"/>
      <c r="H10" s="1"/>
      <c r="I10" s="1"/>
      <c r="J10" s="1"/>
      <c r="K10" s="1"/>
      <c r="L10" s="1"/>
      <c r="M10" s="1"/>
      <c r="N10" s="1"/>
      <c r="O10" s="1"/>
      <c r="P10" s="1"/>
      <c r="Q10" s="1"/>
      <c r="R10" s="1"/>
      <c r="S10" s="1"/>
      <c r="T10" s="1"/>
      <c r="U10" s="1"/>
      <c r="V10" s="1"/>
      <c r="W10" s="1"/>
      <c r="X10" s="1"/>
      <c r="Y10" s="1"/>
      <c r="Z10" s="1"/>
    </row>
    <row r="11" spans="1:26" ht="19">
      <c r="A11" s="41" t="s">
        <v>13</v>
      </c>
      <c r="B11" s="38"/>
      <c r="C11" s="39"/>
      <c r="D11" s="12">
        <f>IF(SUM(D5:D6)&gt;0,1-ROUND(D10,2),"")</f>
        <v>0.18999999999999995</v>
      </c>
      <c r="E11" s="50">
        <v>0</v>
      </c>
      <c r="F11" s="2"/>
      <c r="G11" s="1"/>
      <c r="H11" s="1"/>
      <c r="I11" s="1"/>
      <c r="J11" s="1"/>
      <c r="K11" s="1"/>
      <c r="L11" s="1"/>
      <c r="M11" s="1"/>
      <c r="N11" s="1"/>
      <c r="O11" s="1"/>
      <c r="P11" s="1"/>
      <c r="Q11" s="1"/>
      <c r="R11" s="1"/>
      <c r="S11" s="1"/>
      <c r="T11" s="1"/>
      <c r="U11" s="1"/>
      <c r="V11" s="1"/>
      <c r="W11" s="1"/>
      <c r="X11" s="1"/>
      <c r="Y11" s="1"/>
      <c r="Z11" s="1"/>
    </row>
    <row r="12" spans="1:26">
      <c r="A12" s="14"/>
      <c r="B12" s="14"/>
      <c r="C12" s="14"/>
      <c r="D12" s="1"/>
      <c r="E12" s="1"/>
      <c r="F12" s="2"/>
      <c r="G12" s="1"/>
      <c r="H12" s="1"/>
      <c r="I12" s="1"/>
      <c r="J12" s="1"/>
      <c r="K12" s="1"/>
      <c r="L12" s="1"/>
      <c r="M12" s="1"/>
      <c r="N12" s="1"/>
      <c r="O12" s="1"/>
      <c r="P12" s="1"/>
      <c r="Q12" s="1"/>
      <c r="R12" s="1"/>
      <c r="S12" s="1"/>
      <c r="T12" s="1"/>
      <c r="U12" s="1"/>
      <c r="V12" s="1"/>
      <c r="W12" s="1"/>
      <c r="X12" s="1"/>
      <c r="Y12" s="1"/>
      <c r="Z12" s="1"/>
    </row>
    <row r="13" spans="1:26" ht="20">
      <c r="A13" s="15" t="s">
        <v>14</v>
      </c>
      <c r="B13" s="15" t="s">
        <v>15</v>
      </c>
      <c r="C13" s="15" t="s">
        <v>16</v>
      </c>
      <c r="D13" s="15" t="s">
        <v>17</v>
      </c>
      <c r="E13" s="16" t="s">
        <v>18</v>
      </c>
      <c r="F13" s="17" t="s">
        <v>19</v>
      </c>
      <c r="G13" s="1"/>
      <c r="H13" s="1"/>
      <c r="I13" s="1"/>
      <c r="J13" s="1"/>
      <c r="K13" s="1"/>
      <c r="L13" s="1"/>
      <c r="M13" s="1"/>
      <c r="N13" s="1"/>
      <c r="O13" s="1"/>
      <c r="P13" s="1"/>
      <c r="Q13" s="1"/>
      <c r="R13" s="1"/>
      <c r="S13" s="1"/>
      <c r="T13" s="1"/>
      <c r="U13" s="1"/>
      <c r="V13" s="1"/>
      <c r="W13" s="1"/>
      <c r="X13" s="1"/>
      <c r="Y13" s="1"/>
      <c r="Z13" s="1"/>
    </row>
    <row r="14" spans="1:26" ht="34">
      <c r="A14" s="42" t="s">
        <v>20</v>
      </c>
      <c r="B14" s="18" t="s">
        <v>21</v>
      </c>
      <c r="C14" s="19" t="s">
        <v>22</v>
      </c>
      <c r="D14" s="20" t="s">
        <v>23</v>
      </c>
      <c r="E14" s="21"/>
      <c r="F14" s="21"/>
      <c r="G14" s="1"/>
      <c r="H14" s="1"/>
      <c r="I14" s="1"/>
      <c r="J14" s="1"/>
      <c r="K14" s="1"/>
      <c r="L14" s="1"/>
      <c r="M14" s="1"/>
      <c r="N14" s="1"/>
      <c r="O14" s="1"/>
      <c r="P14" s="1"/>
      <c r="Q14" s="1"/>
      <c r="R14" s="1"/>
      <c r="S14" s="1"/>
      <c r="T14" s="1"/>
      <c r="U14" s="1"/>
      <c r="V14" s="1"/>
      <c r="W14" s="1"/>
      <c r="X14" s="1"/>
      <c r="Y14" s="1"/>
      <c r="Z14" s="1"/>
    </row>
    <row r="15" spans="1:26" ht="34">
      <c r="A15" s="43"/>
      <c r="B15" s="18" t="s">
        <v>24</v>
      </c>
      <c r="C15" s="19" t="s">
        <v>25</v>
      </c>
      <c r="D15" s="20" t="s">
        <v>53</v>
      </c>
      <c r="E15" s="22" t="s">
        <v>288</v>
      </c>
      <c r="F15" s="33"/>
      <c r="G15" s="1"/>
      <c r="H15" s="1"/>
      <c r="I15" s="1"/>
      <c r="J15" s="1"/>
      <c r="K15" s="1"/>
      <c r="L15" s="1"/>
      <c r="M15" s="1"/>
      <c r="N15" s="1"/>
      <c r="O15" s="1"/>
      <c r="P15" s="1"/>
      <c r="Q15" s="1"/>
      <c r="R15" s="1"/>
      <c r="S15" s="1"/>
      <c r="T15" s="1"/>
      <c r="U15" s="1"/>
      <c r="V15" s="1"/>
      <c r="W15" s="1"/>
      <c r="X15" s="1"/>
      <c r="Y15" s="1"/>
      <c r="Z15" s="1"/>
    </row>
    <row r="16" spans="1:26" ht="34">
      <c r="A16" s="43"/>
      <c r="B16" s="18" t="s">
        <v>29</v>
      </c>
      <c r="C16" s="19" t="s">
        <v>30</v>
      </c>
      <c r="D16" s="20" t="s">
        <v>23</v>
      </c>
      <c r="E16" s="21"/>
      <c r="F16" s="21"/>
      <c r="G16" s="1"/>
      <c r="H16" s="1"/>
      <c r="I16" s="1"/>
      <c r="J16" s="1"/>
      <c r="K16" s="1"/>
      <c r="L16" s="1"/>
      <c r="M16" s="1"/>
      <c r="N16" s="1"/>
      <c r="O16" s="1"/>
      <c r="P16" s="1"/>
      <c r="Q16" s="1"/>
      <c r="R16" s="1"/>
      <c r="S16" s="1"/>
      <c r="T16" s="1"/>
      <c r="U16" s="1"/>
      <c r="V16" s="1"/>
      <c r="W16" s="1"/>
      <c r="X16" s="1"/>
      <c r="Y16" s="1"/>
      <c r="Z16" s="1"/>
    </row>
    <row r="17" spans="1:26" ht="51">
      <c r="A17" s="43"/>
      <c r="B17" s="18" t="s">
        <v>31</v>
      </c>
      <c r="C17" s="19" t="s">
        <v>32</v>
      </c>
      <c r="D17" s="20" t="s">
        <v>23</v>
      </c>
      <c r="E17" s="21"/>
      <c r="F17" s="21"/>
      <c r="G17" s="1"/>
      <c r="H17" s="1"/>
      <c r="I17" s="1"/>
      <c r="J17" s="1"/>
      <c r="K17" s="1"/>
      <c r="L17" s="1"/>
      <c r="M17" s="1"/>
      <c r="N17" s="1"/>
      <c r="O17" s="1"/>
      <c r="P17" s="1"/>
      <c r="Q17" s="1"/>
      <c r="R17" s="1"/>
      <c r="S17" s="1"/>
      <c r="T17" s="1"/>
      <c r="U17" s="1"/>
      <c r="V17" s="1"/>
      <c r="W17" s="1"/>
      <c r="X17" s="1"/>
      <c r="Y17" s="1"/>
      <c r="Z17" s="1"/>
    </row>
    <row r="18" spans="1:26" ht="34">
      <c r="A18" s="43"/>
      <c r="B18" s="18" t="s">
        <v>33</v>
      </c>
      <c r="C18" s="19" t="s">
        <v>34</v>
      </c>
      <c r="D18" s="20" t="s">
        <v>23</v>
      </c>
      <c r="E18" s="21"/>
      <c r="F18" s="21"/>
      <c r="G18" s="1"/>
      <c r="H18" s="1"/>
      <c r="I18" s="1"/>
      <c r="J18" s="1"/>
      <c r="K18" s="1"/>
      <c r="L18" s="1"/>
      <c r="M18" s="1"/>
      <c r="N18" s="1"/>
      <c r="O18" s="1"/>
      <c r="P18" s="1"/>
      <c r="Q18" s="1"/>
      <c r="R18" s="1"/>
      <c r="S18" s="1"/>
      <c r="T18" s="1"/>
      <c r="U18" s="1"/>
      <c r="V18" s="1"/>
      <c r="W18" s="1"/>
      <c r="X18" s="1"/>
      <c r="Y18" s="1"/>
      <c r="Z18" s="1"/>
    </row>
    <row r="19" spans="1:26" ht="34">
      <c r="A19" s="43"/>
      <c r="B19" s="18" t="s">
        <v>35</v>
      </c>
      <c r="C19" s="19" t="s">
        <v>36</v>
      </c>
      <c r="D19" s="20" t="s">
        <v>23</v>
      </c>
      <c r="E19" s="21"/>
      <c r="F19" s="21"/>
      <c r="G19" s="1"/>
      <c r="H19" s="1"/>
      <c r="I19" s="1"/>
      <c r="J19" s="1"/>
      <c r="K19" s="1"/>
      <c r="L19" s="1"/>
      <c r="M19" s="1"/>
      <c r="N19" s="1"/>
      <c r="O19" s="1"/>
      <c r="P19" s="1"/>
      <c r="Q19" s="1"/>
      <c r="R19" s="1"/>
      <c r="S19" s="1"/>
      <c r="T19" s="1"/>
      <c r="U19" s="1"/>
      <c r="V19" s="1"/>
      <c r="W19" s="1"/>
      <c r="X19" s="1"/>
      <c r="Y19" s="1"/>
      <c r="Z19" s="1"/>
    </row>
    <row r="20" spans="1:26" ht="34">
      <c r="A20" s="43"/>
      <c r="B20" s="18" t="s">
        <v>37</v>
      </c>
      <c r="C20" s="19" t="s">
        <v>38</v>
      </c>
      <c r="D20" s="20" t="s">
        <v>23</v>
      </c>
      <c r="E20" s="21"/>
      <c r="F20" s="21"/>
      <c r="G20" s="1"/>
      <c r="H20" s="1"/>
      <c r="I20" s="1"/>
      <c r="J20" s="1"/>
      <c r="K20" s="1"/>
      <c r="L20" s="1"/>
      <c r="M20" s="1"/>
      <c r="N20" s="1"/>
      <c r="O20" s="1"/>
      <c r="P20" s="1"/>
      <c r="Q20" s="1"/>
      <c r="R20" s="1"/>
      <c r="S20" s="1"/>
      <c r="T20" s="1"/>
      <c r="U20" s="1"/>
      <c r="V20" s="1"/>
      <c r="W20" s="1"/>
      <c r="X20" s="1"/>
      <c r="Y20" s="1"/>
      <c r="Z20" s="1"/>
    </row>
    <row r="21" spans="1:26" ht="51">
      <c r="A21" s="43"/>
      <c r="B21" s="18" t="s">
        <v>39</v>
      </c>
      <c r="C21" s="19" t="s">
        <v>40</v>
      </c>
      <c r="D21" s="20" t="s">
        <v>23</v>
      </c>
      <c r="E21" s="21"/>
      <c r="F21" s="21"/>
      <c r="G21" s="1"/>
      <c r="H21" s="1"/>
      <c r="I21" s="1"/>
      <c r="J21" s="1"/>
      <c r="K21" s="1"/>
      <c r="L21" s="1"/>
      <c r="M21" s="1"/>
      <c r="N21" s="1"/>
      <c r="O21" s="1"/>
      <c r="P21" s="1"/>
      <c r="Q21" s="1"/>
      <c r="R21" s="1"/>
      <c r="S21" s="1"/>
      <c r="T21" s="1"/>
      <c r="U21" s="1"/>
      <c r="V21" s="1"/>
      <c r="W21" s="1"/>
      <c r="X21" s="1"/>
      <c r="Y21" s="1"/>
      <c r="Z21" s="1"/>
    </row>
    <row r="22" spans="1:26" ht="34">
      <c r="A22" s="44"/>
      <c r="B22" s="18" t="s">
        <v>41</v>
      </c>
      <c r="C22" s="19" t="s">
        <v>42</v>
      </c>
      <c r="D22" s="20" t="s">
        <v>23</v>
      </c>
      <c r="E22" s="21"/>
      <c r="F22" s="21"/>
      <c r="G22" s="1"/>
      <c r="H22" s="1"/>
      <c r="I22" s="1"/>
      <c r="J22" s="1"/>
      <c r="K22" s="1"/>
      <c r="L22" s="1"/>
      <c r="M22" s="1"/>
      <c r="N22" s="1"/>
      <c r="O22" s="1"/>
      <c r="P22" s="1"/>
      <c r="Q22" s="1"/>
      <c r="R22" s="1"/>
      <c r="S22" s="1"/>
      <c r="T22" s="1"/>
      <c r="U22" s="1"/>
      <c r="V22" s="1"/>
      <c r="W22" s="1"/>
      <c r="X22" s="1"/>
      <c r="Y22" s="1"/>
      <c r="Z22" s="1"/>
    </row>
    <row r="23" spans="1:26" ht="19">
      <c r="A23" s="42" t="s">
        <v>43</v>
      </c>
      <c r="B23" s="18" t="s">
        <v>44</v>
      </c>
      <c r="C23" s="19" t="s">
        <v>45</v>
      </c>
      <c r="D23" s="20" t="s">
        <v>23</v>
      </c>
      <c r="E23" s="21"/>
      <c r="F23" s="21"/>
      <c r="G23" s="1"/>
      <c r="H23" s="1"/>
      <c r="I23" s="1"/>
      <c r="J23" s="1"/>
      <c r="K23" s="1"/>
      <c r="L23" s="1"/>
      <c r="M23" s="1"/>
      <c r="N23" s="1"/>
      <c r="O23" s="1"/>
      <c r="P23" s="1"/>
      <c r="Q23" s="1"/>
      <c r="R23" s="1"/>
      <c r="S23" s="1"/>
      <c r="T23" s="1"/>
      <c r="U23" s="1"/>
      <c r="V23" s="1"/>
      <c r="W23" s="1"/>
      <c r="X23" s="1"/>
      <c r="Y23" s="1"/>
      <c r="Z23" s="1"/>
    </row>
    <row r="24" spans="1:26" ht="34">
      <c r="A24" s="44"/>
      <c r="B24" s="18" t="s">
        <v>46</v>
      </c>
      <c r="C24" s="19" t="s">
        <v>47</v>
      </c>
      <c r="D24" s="20" t="s">
        <v>23</v>
      </c>
      <c r="E24" s="21"/>
      <c r="F24" s="21"/>
      <c r="G24" s="1"/>
      <c r="H24" s="1"/>
      <c r="I24" s="1"/>
      <c r="J24" s="1"/>
      <c r="K24" s="1"/>
      <c r="L24" s="1"/>
      <c r="M24" s="1"/>
      <c r="N24" s="1"/>
      <c r="O24" s="1"/>
      <c r="P24" s="1"/>
      <c r="Q24" s="1"/>
      <c r="R24" s="1"/>
      <c r="S24" s="1"/>
      <c r="T24" s="1"/>
      <c r="U24" s="1"/>
      <c r="V24" s="1"/>
      <c r="W24" s="1"/>
      <c r="X24" s="1"/>
      <c r="Y24" s="1"/>
      <c r="Z24" s="1"/>
    </row>
    <row r="25" spans="1:26" ht="34">
      <c r="A25" s="42" t="s">
        <v>48</v>
      </c>
      <c r="B25" s="18" t="s">
        <v>49</v>
      </c>
      <c r="C25" s="19" t="s">
        <v>50</v>
      </c>
      <c r="D25" s="20" t="s">
        <v>23</v>
      </c>
      <c r="E25" s="21"/>
      <c r="F25" s="21"/>
      <c r="G25" s="1"/>
      <c r="H25" s="1"/>
      <c r="I25" s="1"/>
      <c r="J25" s="1"/>
      <c r="K25" s="1"/>
      <c r="L25" s="1"/>
      <c r="M25" s="1"/>
      <c r="N25" s="1"/>
      <c r="O25" s="1"/>
      <c r="P25" s="1"/>
      <c r="Q25" s="1"/>
      <c r="R25" s="1"/>
      <c r="S25" s="1"/>
      <c r="T25" s="1"/>
      <c r="U25" s="1"/>
      <c r="V25" s="1"/>
      <c r="W25" s="1"/>
      <c r="X25" s="1"/>
      <c r="Y25" s="1"/>
      <c r="Z25" s="1"/>
    </row>
    <row r="26" spans="1:26" ht="221">
      <c r="A26" s="43"/>
      <c r="B26" s="18" t="s">
        <v>51</v>
      </c>
      <c r="C26" s="19" t="s">
        <v>52</v>
      </c>
      <c r="D26" s="20" t="s">
        <v>53</v>
      </c>
      <c r="E26" s="21" t="s">
        <v>295</v>
      </c>
      <c r="F26" s="21"/>
      <c r="G26" s="1"/>
      <c r="H26" s="1"/>
      <c r="I26" s="1"/>
      <c r="J26" s="1"/>
      <c r="K26" s="1"/>
      <c r="L26" s="1"/>
      <c r="M26" s="1"/>
      <c r="N26" s="1"/>
      <c r="O26" s="1"/>
      <c r="P26" s="1"/>
      <c r="Q26" s="1"/>
      <c r="R26" s="1"/>
      <c r="S26" s="1"/>
      <c r="T26" s="1"/>
      <c r="U26" s="1"/>
      <c r="V26" s="1"/>
      <c r="W26" s="1"/>
      <c r="X26" s="1"/>
      <c r="Y26" s="1"/>
      <c r="Z26" s="1"/>
    </row>
    <row r="27" spans="1:26" ht="272">
      <c r="A27" s="44"/>
      <c r="B27" s="18" t="s">
        <v>55</v>
      </c>
      <c r="C27" s="19" t="s">
        <v>56</v>
      </c>
      <c r="D27" s="20" t="s">
        <v>53</v>
      </c>
      <c r="E27" s="24" t="s">
        <v>296</v>
      </c>
      <c r="F27" s="21"/>
      <c r="G27" s="1"/>
      <c r="H27" s="1"/>
      <c r="I27" s="1"/>
      <c r="J27" s="1"/>
      <c r="K27" s="1"/>
      <c r="L27" s="1"/>
      <c r="M27" s="1"/>
      <c r="N27" s="1"/>
      <c r="O27" s="1"/>
      <c r="P27" s="1"/>
      <c r="Q27" s="1"/>
      <c r="R27" s="1"/>
      <c r="S27" s="1"/>
      <c r="T27" s="1"/>
      <c r="U27" s="1"/>
      <c r="V27" s="1"/>
      <c r="W27" s="1"/>
      <c r="X27" s="1"/>
      <c r="Y27" s="1"/>
      <c r="Z27" s="1"/>
    </row>
    <row r="28" spans="1:26" ht="34">
      <c r="A28" s="42" t="s">
        <v>58</v>
      </c>
      <c r="B28" s="18" t="s">
        <v>59</v>
      </c>
      <c r="C28" s="19" t="s">
        <v>60</v>
      </c>
      <c r="D28" s="20" t="s">
        <v>23</v>
      </c>
      <c r="E28" s="21"/>
      <c r="F28" s="21"/>
      <c r="G28" s="1"/>
      <c r="H28" s="1"/>
      <c r="I28" s="1"/>
      <c r="J28" s="1"/>
      <c r="K28" s="1"/>
      <c r="L28" s="1"/>
      <c r="M28" s="1"/>
      <c r="N28" s="1"/>
      <c r="O28" s="1"/>
      <c r="P28" s="1"/>
      <c r="Q28" s="1"/>
      <c r="R28" s="1"/>
      <c r="S28" s="1"/>
      <c r="T28" s="1"/>
      <c r="U28" s="1"/>
      <c r="V28" s="1"/>
      <c r="W28" s="1"/>
      <c r="X28" s="1"/>
      <c r="Y28" s="1"/>
      <c r="Z28" s="1"/>
    </row>
    <row r="29" spans="1:26" ht="51">
      <c r="A29" s="43"/>
      <c r="B29" s="18" t="s">
        <v>61</v>
      </c>
      <c r="C29" s="19" t="s">
        <v>62</v>
      </c>
      <c r="D29" s="20" t="s">
        <v>23</v>
      </c>
      <c r="E29" s="21"/>
      <c r="F29" s="21"/>
      <c r="G29" s="1"/>
      <c r="H29" s="1"/>
      <c r="I29" s="1"/>
      <c r="J29" s="1"/>
      <c r="K29" s="1"/>
      <c r="L29" s="1"/>
      <c r="M29" s="1"/>
      <c r="N29" s="1"/>
      <c r="O29" s="1"/>
      <c r="P29" s="1"/>
      <c r="Q29" s="1"/>
      <c r="R29" s="1"/>
      <c r="S29" s="1"/>
      <c r="T29" s="1"/>
      <c r="U29" s="1"/>
      <c r="V29" s="1"/>
      <c r="W29" s="1"/>
      <c r="X29" s="1"/>
      <c r="Y29" s="1"/>
      <c r="Z29" s="1"/>
    </row>
    <row r="30" spans="1:26" ht="34">
      <c r="A30" s="43"/>
      <c r="B30" s="18" t="s">
        <v>63</v>
      </c>
      <c r="C30" s="19" t="s">
        <v>64</v>
      </c>
      <c r="D30" s="20" t="s">
        <v>23</v>
      </c>
      <c r="E30" s="21"/>
      <c r="F30" s="21"/>
      <c r="G30" s="1"/>
      <c r="H30" s="1"/>
      <c r="I30" s="1"/>
      <c r="J30" s="1"/>
      <c r="K30" s="1"/>
      <c r="L30" s="1"/>
      <c r="M30" s="1"/>
      <c r="N30" s="1"/>
      <c r="O30" s="1"/>
      <c r="P30" s="1"/>
      <c r="Q30" s="1"/>
      <c r="R30" s="1"/>
      <c r="S30" s="1"/>
      <c r="T30" s="1"/>
      <c r="U30" s="1"/>
      <c r="V30" s="1"/>
      <c r="W30" s="1"/>
      <c r="X30" s="1"/>
      <c r="Y30" s="1"/>
      <c r="Z30" s="1"/>
    </row>
    <row r="31" spans="1:26" ht="34">
      <c r="A31" s="43"/>
      <c r="B31" s="18" t="s">
        <v>65</v>
      </c>
      <c r="C31" s="19" t="s">
        <v>66</v>
      </c>
      <c r="D31" s="20" t="s">
        <v>23</v>
      </c>
      <c r="E31" s="21"/>
      <c r="F31" s="21"/>
      <c r="G31" s="1"/>
      <c r="H31" s="1"/>
      <c r="I31" s="1"/>
      <c r="J31" s="1"/>
      <c r="K31" s="1"/>
      <c r="L31" s="1"/>
      <c r="M31" s="1"/>
      <c r="N31" s="1"/>
      <c r="O31" s="1"/>
      <c r="P31" s="1"/>
      <c r="Q31" s="1"/>
      <c r="R31" s="1"/>
      <c r="S31" s="1"/>
      <c r="T31" s="1"/>
      <c r="U31" s="1"/>
      <c r="V31" s="1"/>
      <c r="W31" s="1"/>
      <c r="X31" s="1"/>
      <c r="Y31" s="1"/>
      <c r="Z31" s="1"/>
    </row>
    <row r="32" spans="1:26" ht="34">
      <c r="A32" s="43"/>
      <c r="B32" s="18" t="s">
        <v>67</v>
      </c>
      <c r="C32" s="19" t="s">
        <v>68</v>
      </c>
      <c r="D32" s="20" t="s">
        <v>23</v>
      </c>
      <c r="E32" s="21"/>
      <c r="F32" s="21"/>
      <c r="G32" s="1"/>
      <c r="H32" s="1"/>
      <c r="I32" s="1"/>
      <c r="J32" s="1"/>
      <c r="K32" s="1"/>
      <c r="L32" s="1"/>
      <c r="M32" s="1"/>
      <c r="N32" s="1"/>
      <c r="O32" s="1"/>
      <c r="P32" s="1"/>
      <c r="Q32" s="1"/>
      <c r="R32" s="1"/>
      <c r="S32" s="1"/>
      <c r="T32" s="1"/>
      <c r="U32" s="1"/>
      <c r="V32" s="1"/>
      <c r="W32" s="1"/>
      <c r="X32" s="1"/>
      <c r="Y32" s="1"/>
      <c r="Z32" s="1"/>
    </row>
    <row r="33" spans="1:26" ht="34">
      <c r="A33" s="43"/>
      <c r="B33" s="18" t="s">
        <v>69</v>
      </c>
      <c r="C33" s="19" t="s">
        <v>70</v>
      </c>
      <c r="D33" s="20" t="s">
        <v>23</v>
      </c>
      <c r="E33" s="21"/>
      <c r="F33" s="21"/>
      <c r="G33" s="1"/>
      <c r="H33" s="1"/>
      <c r="I33" s="1"/>
      <c r="J33" s="1"/>
      <c r="K33" s="1"/>
      <c r="L33" s="1"/>
      <c r="M33" s="1"/>
      <c r="N33" s="1"/>
      <c r="O33" s="1"/>
      <c r="P33" s="1"/>
      <c r="Q33" s="1"/>
      <c r="R33" s="1"/>
      <c r="S33" s="1"/>
      <c r="T33" s="1"/>
      <c r="U33" s="1"/>
      <c r="V33" s="1"/>
      <c r="W33" s="1"/>
      <c r="X33" s="1"/>
      <c r="Y33" s="1"/>
      <c r="Z33" s="1"/>
    </row>
    <row r="34" spans="1:26" ht="34">
      <c r="A34" s="43"/>
      <c r="B34" s="18" t="s">
        <v>71</v>
      </c>
      <c r="C34" s="19" t="s">
        <v>72</v>
      </c>
      <c r="D34" s="20" t="s">
        <v>23</v>
      </c>
      <c r="E34" s="21"/>
      <c r="F34" s="21"/>
      <c r="G34" s="1"/>
      <c r="H34" s="1"/>
      <c r="I34" s="1"/>
      <c r="J34" s="1"/>
      <c r="K34" s="1"/>
      <c r="L34" s="1"/>
      <c r="M34" s="1"/>
      <c r="N34" s="1"/>
      <c r="O34" s="1"/>
      <c r="P34" s="1"/>
      <c r="Q34" s="1"/>
      <c r="R34" s="1"/>
      <c r="S34" s="1"/>
      <c r="T34" s="1"/>
      <c r="U34" s="1"/>
      <c r="V34" s="1"/>
      <c r="W34" s="1"/>
      <c r="X34" s="1"/>
      <c r="Y34" s="1"/>
      <c r="Z34" s="1"/>
    </row>
    <row r="35" spans="1:26" ht="34">
      <c r="A35" s="43"/>
      <c r="B35" s="18" t="s">
        <v>73</v>
      </c>
      <c r="C35" s="19" t="s">
        <v>74</v>
      </c>
      <c r="D35" s="20" t="s">
        <v>23</v>
      </c>
      <c r="E35" s="21"/>
      <c r="F35" s="21"/>
      <c r="G35" s="1"/>
      <c r="H35" s="1"/>
      <c r="I35" s="1"/>
      <c r="J35" s="1"/>
      <c r="K35" s="1"/>
      <c r="L35" s="1"/>
      <c r="M35" s="1"/>
      <c r="N35" s="1"/>
      <c r="O35" s="1"/>
      <c r="P35" s="1"/>
      <c r="Q35" s="1"/>
      <c r="R35" s="1"/>
      <c r="S35" s="1"/>
      <c r="T35" s="1"/>
      <c r="U35" s="1"/>
      <c r="V35" s="1"/>
      <c r="W35" s="1"/>
      <c r="X35" s="1"/>
      <c r="Y35" s="1"/>
      <c r="Z35" s="1"/>
    </row>
    <row r="36" spans="1:26" ht="34">
      <c r="A36" s="43"/>
      <c r="B36" s="18" t="s">
        <v>75</v>
      </c>
      <c r="C36" s="19" t="s">
        <v>76</v>
      </c>
      <c r="D36" s="20" t="s">
        <v>23</v>
      </c>
      <c r="E36" s="21"/>
      <c r="F36" s="21"/>
      <c r="G36" s="1"/>
      <c r="H36" s="1"/>
      <c r="I36" s="1"/>
      <c r="J36" s="1"/>
      <c r="K36" s="1"/>
      <c r="L36" s="1"/>
      <c r="M36" s="1"/>
      <c r="N36" s="1"/>
      <c r="O36" s="1"/>
      <c r="P36" s="1"/>
      <c r="Q36" s="1"/>
      <c r="R36" s="1"/>
      <c r="S36" s="1"/>
      <c r="T36" s="1"/>
      <c r="U36" s="1"/>
      <c r="V36" s="1"/>
      <c r="W36" s="1"/>
      <c r="X36" s="1"/>
      <c r="Y36" s="1"/>
      <c r="Z36" s="1"/>
    </row>
    <row r="37" spans="1:26" ht="34">
      <c r="A37" s="43"/>
      <c r="B37" s="18" t="s">
        <v>77</v>
      </c>
      <c r="C37" s="19" t="s">
        <v>78</v>
      </c>
      <c r="D37" s="20" t="s">
        <v>23</v>
      </c>
      <c r="E37" s="21"/>
      <c r="F37" s="21"/>
      <c r="G37" s="1"/>
      <c r="H37" s="1"/>
      <c r="I37" s="1"/>
      <c r="J37" s="1"/>
      <c r="K37" s="1"/>
      <c r="L37" s="1"/>
      <c r="M37" s="1"/>
      <c r="N37" s="1"/>
      <c r="O37" s="1"/>
      <c r="P37" s="1"/>
      <c r="Q37" s="1"/>
      <c r="R37" s="1"/>
      <c r="S37" s="1"/>
      <c r="T37" s="1"/>
      <c r="U37" s="1"/>
      <c r="V37" s="1"/>
      <c r="W37" s="1"/>
      <c r="X37" s="1"/>
      <c r="Y37" s="1"/>
      <c r="Z37" s="1"/>
    </row>
    <row r="38" spans="1:26" ht="34">
      <c r="A38" s="43"/>
      <c r="B38" s="18" t="s">
        <v>79</v>
      </c>
      <c r="C38" s="19" t="s">
        <v>80</v>
      </c>
      <c r="D38" s="20" t="s">
        <v>23</v>
      </c>
      <c r="E38" s="21"/>
      <c r="F38" s="21"/>
      <c r="G38" s="1"/>
      <c r="H38" s="1"/>
      <c r="I38" s="1"/>
      <c r="J38" s="1"/>
      <c r="K38" s="1"/>
      <c r="L38" s="1"/>
      <c r="M38" s="1"/>
      <c r="N38" s="1"/>
      <c r="O38" s="1"/>
      <c r="P38" s="1"/>
      <c r="Q38" s="1"/>
      <c r="R38" s="1"/>
      <c r="S38" s="1"/>
      <c r="T38" s="1"/>
      <c r="U38" s="1"/>
      <c r="V38" s="1"/>
      <c r="W38" s="1"/>
      <c r="X38" s="1"/>
      <c r="Y38" s="1"/>
      <c r="Z38" s="1"/>
    </row>
    <row r="39" spans="1:26" ht="34">
      <c r="A39" s="43"/>
      <c r="B39" s="18" t="s">
        <v>81</v>
      </c>
      <c r="C39" s="19" t="s">
        <v>82</v>
      </c>
      <c r="D39" s="20" t="s">
        <v>23</v>
      </c>
      <c r="E39" s="21"/>
      <c r="F39" s="21"/>
      <c r="G39" s="1"/>
      <c r="H39" s="1"/>
      <c r="I39" s="1"/>
      <c r="J39" s="1"/>
      <c r="K39" s="1"/>
      <c r="L39" s="1"/>
      <c r="M39" s="1"/>
      <c r="N39" s="1"/>
      <c r="O39" s="1"/>
      <c r="P39" s="1"/>
      <c r="Q39" s="1"/>
      <c r="R39" s="1"/>
      <c r="S39" s="1"/>
      <c r="T39" s="1"/>
      <c r="U39" s="1"/>
      <c r="V39" s="1"/>
      <c r="W39" s="1"/>
      <c r="X39" s="1"/>
      <c r="Y39" s="1"/>
      <c r="Z39" s="1"/>
    </row>
    <row r="40" spans="1:26" ht="34">
      <c r="A40" s="44"/>
      <c r="B40" s="18" t="s">
        <v>83</v>
      </c>
      <c r="C40" s="19" t="s">
        <v>84</v>
      </c>
      <c r="D40" s="20" t="s">
        <v>23</v>
      </c>
      <c r="E40" s="21"/>
      <c r="F40" s="21"/>
      <c r="G40" s="1"/>
      <c r="H40" s="1"/>
      <c r="I40" s="1"/>
      <c r="J40" s="1"/>
      <c r="K40" s="1"/>
      <c r="L40" s="1"/>
      <c r="M40" s="1"/>
      <c r="N40" s="1"/>
      <c r="O40" s="1"/>
      <c r="P40" s="1"/>
      <c r="Q40" s="1"/>
      <c r="R40" s="1"/>
      <c r="S40" s="1"/>
      <c r="T40" s="1"/>
      <c r="U40" s="1"/>
      <c r="V40" s="1"/>
      <c r="W40" s="1"/>
      <c r="X40" s="1"/>
      <c r="Y40" s="1"/>
      <c r="Z40" s="1"/>
    </row>
    <row r="41" spans="1:26" ht="19">
      <c r="A41" s="42" t="s">
        <v>85</v>
      </c>
      <c r="B41" s="18" t="s">
        <v>86</v>
      </c>
      <c r="C41" s="19" t="s">
        <v>87</v>
      </c>
      <c r="D41" s="20" t="s">
        <v>23</v>
      </c>
      <c r="E41" s="21"/>
      <c r="F41" s="21"/>
      <c r="G41" s="1"/>
      <c r="H41" s="1"/>
      <c r="I41" s="1"/>
      <c r="J41" s="1"/>
      <c r="K41" s="1"/>
      <c r="L41" s="1"/>
      <c r="M41" s="1"/>
      <c r="N41" s="1"/>
      <c r="O41" s="1"/>
      <c r="P41" s="1"/>
      <c r="Q41" s="1"/>
      <c r="R41" s="1"/>
      <c r="S41" s="1"/>
      <c r="T41" s="1"/>
      <c r="U41" s="1"/>
      <c r="V41" s="1"/>
      <c r="W41" s="1"/>
      <c r="X41" s="1"/>
      <c r="Y41" s="1"/>
      <c r="Z41" s="1"/>
    </row>
    <row r="42" spans="1:26" ht="34">
      <c r="A42" s="43"/>
      <c r="B42" s="18" t="s">
        <v>88</v>
      </c>
      <c r="C42" s="19" t="s">
        <v>89</v>
      </c>
      <c r="D42" s="20" t="s">
        <v>23</v>
      </c>
      <c r="E42" s="21"/>
      <c r="F42" s="21"/>
      <c r="G42" s="1"/>
      <c r="H42" s="1"/>
      <c r="I42" s="1"/>
      <c r="J42" s="1"/>
      <c r="K42" s="1"/>
      <c r="L42" s="1"/>
      <c r="M42" s="1"/>
      <c r="N42" s="1"/>
      <c r="O42" s="1"/>
      <c r="P42" s="1"/>
      <c r="Q42" s="1"/>
      <c r="R42" s="1"/>
      <c r="S42" s="1"/>
      <c r="T42" s="1"/>
      <c r="U42" s="1"/>
      <c r="V42" s="1"/>
      <c r="W42" s="1"/>
      <c r="X42" s="1"/>
      <c r="Y42" s="1"/>
      <c r="Z42" s="1"/>
    </row>
    <row r="43" spans="1:26" ht="34">
      <c r="A43" s="43"/>
      <c r="B43" s="18" t="s">
        <v>90</v>
      </c>
      <c r="C43" s="19" t="s">
        <v>91</v>
      </c>
      <c r="D43" s="20" t="s">
        <v>23</v>
      </c>
      <c r="E43" s="21"/>
      <c r="F43" s="21"/>
      <c r="G43" s="1"/>
      <c r="H43" s="1"/>
      <c r="I43" s="1"/>
      <c r="J43" s="1"/>
      <c r="K43" s="1"/>
      <c r="L43" s="1"/>
      <c r="M43" s="1"/>
      <c r="N43" s="1"/>
      <c r="O43" s="1"/>
      <c r="P43" s="1"/>
      <c r="Q43" s="1"/>
      <c r="R43" s="1"/>
      <c r="S43" s="1"/>
      <c r="T43" s="1"/>
      <c r="U43" s="1"/>
      <c r="V43" s="1"/>
      <c r="W43" s="1"/>
      <c r="X43" s="1"/>
      <c r="Y43" s="1"/>
      <c r="Z43" s="1"/>
    </row>
    <row r="44" spans="1:26" ht="34">
      <c r="A44" s="43"/>
      <c r="B44" s="18" t="s">
        <v>92</v>
      </c>
      <c r="C44" s="19" t="s">
        <v>93</v>
      </c>
      <c r="D44" s="20" t="s">
        <v>23</v>
      </c>
      <c r="E44" s="21"/>
      <c r="F44" s="21"/>
      <c r="G44" s="1"/>
      <c r="H44" s="1"/>
      <c r="I44" s="1"/>
      <c r="J44" s="1"/>
      <c r="K44" s="1"/>
      <c r="L44" s="1"/>
      <c r="M44" s="1"/>
      <c r="N44" s="1"/>
      <c r="O44" s="1"/>
      <c r="P44" s="1"/>
      <c r="Q44" s="1"/>
      <c r="R44" s="1"/>
      <c r="S44" s="1"/>
      <c r="T44" s="1"/>
      <c r="U44" s="1"/>
      <c r="V44" s="1"/>
      <c r="W44" s="1"/>
      <c r="X44" s="1"/>
      <c r="Y44" s="1"/>
      <c r="Z44" s="1"/>
    </row>
    <row r="45" spans="1:26" ht="34">
      <c r="A45" s="43"/>
      <c r="B45" s="18" t="s">
        <v>94</v>
      </c>
      <c r="C45" s="19" t="s">
        <v>95</v>
      </c>
      <c r="D45" s="20" t="s">
        <v>23</v>
      </c>
      <c r="E45" s="21"/>
      <c r="F45" s="21"/>
      <c r="G45" s="1"/>
      <c r="H45" s="1"/>
      <c r="I45" s="1"/>
      <c r="J45" s="1"/>
      <c r="K45" s="1"/>
      <c r="L45" s="1"/>
      <c r="M45" s="1"/>
      <c r="N45" s="1"/>
      <c r="O45" s="1"/>
      <c r="P45" s="1"/>
      <c r="Q45" s="1"/>
      <c r="R45" s="1"/>
      <c r="S45" s="1"/>
      <c r="T45" s="1"/>
      <c r="U45" s="1"/>
      <c r="V45" s="1"/>
      <c r="W45" s="1"/>
      <c r="X45" s="1"/>
      <c r="Y45" s="1"/>
      <c r="Z45" s="1"/>
    </row>
    <row r="46" spans="1:26" ht="34">
      <c r="A46" s="43"/>
      <c r="B46" s="18" t="s">
        <v>96</v>
      </c>
      <c r="C46" s="19" t="s">
        <v>97</v>
      </c>
      <c r="D46" s="20" t="s">
        <v>23</v>
      </c>
      <c r="E46" s="21"/>
      <c r="F46" s="21"/>
      <c r="G46" s="1"/>
      <c r="H46" s="1"/>
      <c r="I46" s="1"/>
      <c r="J46" s="1"/>
      <c r="K46" s="1"/>
      <c r="L46" s="1"/>
      <c r="M46" s="1"/>
      <c r="N46" s="1"/>
      <c r="O46" s="1"/>
      <c r="P46" s="1"/>
      <c r="Q46" s="1"/>
      <c r="R46" s="1"/>
      <c r="S46" s="1"/>
      <c r="T46" s="1"/>
      <c r="U46" s="1"/>
      <c r="V46" s="1"/>
      <c r="W46" s="1"/>
      <c r="X46" s="1"/>
      <c r="Y46" s="1"/>
      <c r="Z46" s="1"/>
    </row>
    <row r="47" spans="1:26" ht="51">
      <c r="A47" s="43"/>
      <c r="B47" s="18" t="s">
        <v>98</v>
      </c>
      <c r="C47" s="19" t="s">
        <v>99</v>
      </c>
      <c r="D47" s="20" t="s">
        <v>23</v>
      </c>
      <c r="E47" s="21"/>
      <c r="F47" s="21"/>
      <c r="G47" s="1"/>
      <c r="H47" s="1"/>
      <c r="I47" s="1"/>
      <c r="J47" s="1"/>
      <c r="K47" s="1"/>
      <c r="L47" s="1"/>
      <c r="M47" s="1"/>
      <c r="N47" s="1"/>
      <c r="O47" s="1"/>
      <c r="P47" s="1"/>
      <c r="Q47" s="1"/>
      <c r="R47" s="1"/>
      <c r="S47" s="1"/>
      <c r="T47" s="1"/>
      <c r="U47" s="1"/>
      <c r="V47" s="1"/>
      <c r="W47" s="1"/>
      <c r="X47" s="1"/>
      <c r="Y47" s="1"/>
      <c r="Z47" s="1"/>
    </row>
    <row r="48" spans="1:26" ht="34">
      <c r="A48" s="44"/>
      <c r="B48" s="18" t="s">
        <v>100</v>
      </c>
      <c r="C48" s="19" t="s">
        <v>101</v>
      </c>
      <c r="D48" s="20" t="s">
        <v>23</v>
      </c>
      <c r="E48" s="21"/>
      <c r="F48" s="21"/>
      <c r="G48" s="1"/>
      <c r="H48" s="1"/>
      <c r="I48" s="1"/>
      <c r="J48" s="1"/>
      <c r="K48" s="1"/>
      <c r="L48" s="1"/>
      <c r="M48" s="1"/>
      <c r="N48" s="1"/>
      <c r="O48" s="1"/>
      <c r="P48" s="1"/>
      <c r="Q48" s="1"/>
      <c r="R48" s="1"/>
      <c r="S48" s="1"/>
      <c r="T48" s="1"/>
      <c r="U48" s="1"/>
      <c r="V48" s="1"/>
      <c r="W48" s="1"/>
      <c r="X48" s="1"/>
      <c r="Y48" s="1"/>
      <c r="Z48" s="1"/>
    </row>
    <row r="49" spans="1:26" ht="19">
      <c r="A49" s="42" t="s">
        <v>102</v>
      </c>
      <c r="B49" s="18" t="s">
        <v>103</v>
      </c>
      <c r="C49" s="19" t="s">
        <v>104</v>
      </c>
      <c r="D49" s="20" t="s">
        <v>23</v>
      </c>
      <c r="E49" s="21"/>
      <c r="F49" s="21"/>
      <c r="G49" s="1"/>
      <c r="H49" s="1"/>
      <c r="I49" s="1"/>
      <c r="J49" s="1"/>
      <c r="K49" s="1"/>
      <c r="L49" s="1"/>
      <c r="M49" s="1"/>
      <c r="N49" s="1"/>
      <c r="O49" s="1"/>
      <c r="P49" s="1"/>
      <c r="Q49" s="1"/>
      <c r="R49" s="1"/>
      <c r="S49" s="1"/>
      <c r="T49" s="1"/>
      <c r="U49" s="1"/>
      <c r="V49" s="1"/>
      <c r="W49" s="1"/>
      <c r="X49" s="1"/>
      <c r="Y49" s="1"/>
      <c r="Z49" s="1"/>
    </row>
    <row r="50" spans="1:26" ht="19">
      <c r="A50" s="44"/>
      <c r="B50" s="18" t="s">
        <v>105</v>
      </c>
      <c r="C50" s="19" t="s">
        <v>106</v>
      </c>
      <c r="D50" s="20" t="s">
        <v>23</v>
      </c>
      <c r="E50" s="21"/>
      <c r="F50" s="21"/>
      <c r="G50" s="1"/>
      <c r="H50" s="1"/>
      <c r="I50" s="1"/>
      <c r="J50" s="1"/>
      <c r="K50" s="1"/>
      <c r="L50" s="1"/>
      <c r="M50" s="1"/>
      <c r="N50" s="1"/>
      <c r="O50" s="1"/>
      <c r="P50" s="1"/>
      <c r="Q50" s="1"/>
      <c r="R50" s="1"/>
      <c r="S50" s="1"/>
      <c r="T50" s="1"/>
      <c r="U50" s="1"/>
      <c r="V50" s="1"/>
      <c r="W50" s="1"/>
      <c r="X50" s="1"/>
      <c r="Y50" s="1"/>
      <c r="Z50" s="1"/>
    </row>
    <row r="51" spans="1:26" ht="238">
      <c r="A51" s="42" t="s">
        <v>107</v>
      </c>
      <c r="B51" s="18" t="s">
        <v>108</v>
      </c>
      <c r="C51" s="19" t="s">
        <v>109</v>
      </c>
      <c r="D51" s="20" t="s">
        <v>26</v>
      </c>
      <c r="E51" s="25" t="s">
        <v>293</v>
      </c>
      <c r="F51" s="51" t="s">
        <v>299</v>
      </c>
      <c r="G51" s="1"/>
      <c r="H51" s="1"/>
      <c r="I51" s="1"/>
      <c r="J51" s="1"/>
      <c r="K51" s="1"/>
      <c r="L51" s="1"/>
      <c r="M51" s="1"/>
      <c r="N51" s="1"/>
      <c r="O51" s="1"/>
      <c r="P51" s="1"/>
      <c r="Q51" s="1"/>
      <c r="R51" s="1"/>
      <c r="S51" s="1"/>
      <c r="T51" s="1"/>
      <c r="U51" s="1"/>
      <c r="V51" s="1"/>
      <c r="W51" s="1"/>
      <c r="X51" s="1"/>
      <c r="Y51" s="1"/>
      <c r="Z51" s="1"/>
    </row>
    <row r="52" spans="1:26" ht="34">
      <c r="A52" s="43"/>
      <c r="B52" s="18" t="s">
        <v>111</v>
      </c>
      <c r="C52" s="19" t="s">
        <v>112</v>
      </c>
      <c r="D52" s="20" t="s">
        <v>23</v>
      </c>
      <c r="E52" s="21"/>
      <c r="F52" s="21"/>
      <c r="G52" s="1"/>
      <c r="H52" s="1"/>
      <c r="I52" s="1"/>
      <c r="J52" s="1"/>
      <c r="K52" s="1"/>
      <c r="L52" s="1"/>
      <c r="M52" s="1"/>
      <c r="N52" s="1"/>
      <c r="O52" s="1"/>
      <c r="P52" s="1"/>
      <c r="Q52" s="1"/>
      <c r="R52" s="1"/>
      <c r="S52" s="1"/>
      <c r="T52" s="1"/>
      <c r="U52" s="1"/>
      <c r="V52" s="1"/>
      <c r="W52" s="1"/>
      <c r="X52" s="1"/>
      <c r="Y52" s="1"/>
      <c r="Z52" s="1"/>
    </row>
    <row r="53" spans="1:26" ht="409" customHeight="1">
      <c r="A53" s="43"/>
      <c r="B53" s="18" t="s">
        <v>113</v>
      </c>
      <c r="C53" s="19" t="s">
        <v>114</v>
      </c>
      <c r="D53" s="20" t="s">
        <v>26</v>
      </c>
      <c r="E53" s="25" t="s">
        <v>287</v>
      </c>
      <c r="F53" s="51" t="s">
        <v>300</v>
      </c>
      <c r="G53" s="1"/>
      <c r="H53" s="1"/>
      <c r="I53" s="1"/>
      <c r="J53" s="1"/>
      <c r="K53" s="1"/>
      <c r="L53" s="1"/>
      <c r="M53" s="1"/>
      <c r="N53" s="1"/>
      <c r="O53" s="1"/>
      <c r="P53" s="1"/>
      <c r="Q53" s="1"/>
      <c r="R53" s="1"/>
      <c r="S53" s="1"/>
      <c r="T53" s="1"/>
      <c r="U53" s="1"/>
      <c r="V53" s="1"/>
      <c r="W53" s="1"/>
      <c r="X53" s="1"/>
      <c r="Y53" s="1"/>
      <c r="Z53" s="1"/>
    </row>
    <row r="54" spans="1:26" ht="34">
      <c r="A54" s="43"/>
      <c r="B54" s="18" t="s">
        <v>117</v>
      </c>
      <c r="C54" s="19" t="s">
        <v>118</v>
      </c>
      <c r="D54" s="20" t="s">
        <v>23</v>
      </c>
      <c r="E54" s="21"/>
      <c r="F54" s="21"/>
      <c r="G54" s="1"/>
      <c r="H54" s="1"/>
      <c r="I54" s="1"/>
      <c r="J54" s="1"/>
      <c r="K54" s="1"/>
      <c r="L54" s="1"/>
      <c r="M54" s="1"/>
      <c r="N54" s="1"/>
      <c r="O54" s="1"/>
      <c r="P54" s="1"/>
      <c r="Q54" s="1"/>
      <c r="R54" s="1"/>
      <c r="S54" s="1"/>
      <c r="T54" s="1"/>
      <c r="U54" s="1"/>
      <c r="V54" s="1"/>
      <c r="W54" s="1"/>
      <c r="X54" s="1"/>
      <c r="Y54" s="1"/>
      <c r="Z54" s="1"/>
    </row>
    <row r="55" spans="1:26" ht="34">
      <c r="A55" s="44"/>
      <c r="B55" s="18" t="s">
        <v>119</v>
      </c>
      <c r="C55" s="19" t="s">
        <v>120</v>
      </c>
      <c r="D55" s="20" t="s">
        <v>23</v>
      </c>
      <c r="E55" s="21"/>
      <c r="F55" s="21"/>
      <c r="G55" s="1"/>
      <c r="H55" s="1"/>
      <c r="I55" s="1"/>
      <c r="J55" s="1"/>
      <c r="K55" s="1"/>
      <c r="L55" s="1"/>
      <c r="M55" s="1"/>
      <c r="N55" s="1"/>
      <c r="O55" s="1"/>
      <c r="P55" s="1"/>
      <c r="Q55" s="1"/>
      <c r="R55" s="1"/>
      <c r="S55" s="1"/>
      <c r="T55" s="1"/>
      <c r="U55" s="1"/>
      <c r="V55" s="1"/>
      <c r="W55" s="1"/>
      <c r="X55" s="1"/>
      <c r="Y55" s="1"/>
      <c r="Z55" s="1"/>
    </row>
    <row r="56" spans="1:26" ht="19">
      <c r="A56" s="42" t="s">
        <v>121</v>
      </c>
      <c r="B56" s="18" t="s">
        <v>122</v>
      </c>
      <c r="C56" s="19" t="s">
        <v>123</v>
      </c>
      <c r="D56" s="20" t="s">
        <v>23</v>
      </c>
      <c r="E56" s="21"/>
      <c r="F56" s="21"/>
      <c r="G56" s="1"/>
      <c r="H56" s="1"/>
      <c r="I56" s="1"/>
      <c r="J56" s="1"/>
      <c r="K56" s="1"/>
      <c r="L56" s="1"/>
      <c r="M56" s="1"/>
      <c r="N56" s="1"/>
      <c r="O56" s="1"/>
      <c r="P56" s="1"/>
      <c r="Q56" s="1"/>
      <c r="R56" s="1"/>
      <c r="S56" s="1"/>
      <c r="T56" s="1"/>
      <c r="U56" s="1"/>
      <c r="V56" s="1"/>
      <c r="W56" s="1"/>
      <c r="X56" s="1"/>
      <c r="Y56" s="1"/>
      <c r="Z56" s="1"/>
    </row>
    <row r="57" spans="1:26" ht="119">
      <c r="A57" s="43"/>
      <c r="B57" s="18" t="s">
        <v>124</v>
      </c>
      <c r="C57" s="19" t="s">
        <v>125</v>
      </c>
      <c r="D57" s="20" t="s">
        <v>26</v>
      </c>
      <c r="E57" s="25" t="s">
        <v>292</v>
      </c>
      <c r="F57" s="51" t="s">
        <v>302</v>
      </c>
      <c r="G57" s="1"/>
      <c r="H57" s="1"/>
      <c r="I57" s="1"/>
      <c r="J57" s="1"/>
      <c r="K57" s="1"/>
      <c r="L57" s="1"/>
      <c r="M57" s="1"/>
      <c r="N57" s="1"/>
      <c r="O57" s="1"/>
      <c r="P57" s="1"/>
      <c r="Q57" s="1"/>
      <c r="R57" s="1"/>
      <c r="S57" s="1"/>
      <c r="T57" s="1"/>
      <c r="U57" s="1"/>
      <c r="V57" s="1"/>
      <c r="W57" s="1"/>
      <c r="X57" s="1"/>
      <c r="Y57" s="1"/>
      <c r="Z57" s="1"/>
    </row>
    <row r="58" spans="1:26" ht="19">
      <c r="A58" s="43"/>
      <c r="B58" s="18" t="s">
        <v>127</v>
      </c>
      <c r="C58" s="19" t="s">
        <v>128</v>
      </c>
      <c r="D58" s="20" t="s">
        <v>23</v>
      </c>
      <c r="E58" s="21"/>
      <c r="F58" s="21"/>
      <c r="G58" s="1"/>
      <c r="H58" s="1"/>
      <c r="I58" s="1"/>
      <c r="J58" s="1"/>
      <c r="K58" s="1"/>
      <c r="L58" s="1"/>
      <c r="M58" s="1"/>
      <c r="N58" s="1"/>
      <c r="O58" s="1"/>
      <c r="P58" s="1"/>
      <c r="Q58" s="1"/>
      <c r="R58" s="1"/>
      <c r="S58" s="1"/>
      <c r="T58" s="1"/>
      <c r="U58" s="1"/>
      <c r="V58" s="1"/>
      <c r="W58" s="1"/>
      <c r="X58" s="1"/>
      <c r="Y58" s="1"/>
      <c r="Z58" s="1"/>
    </row>
    <row r="59" spans="1:26" ht="34">
      <c r="A59" s="43"/>
      <c r="B59" s="18" t="s">
        <v>129</v>
      </c>
      <c r="C59" s="19" t="s">
        <v>130</v>
      </c>
      <c r="D59" s="20" t="s">
        <v>23</v>
      </c>
      <c r="E59" s="21"/>
      <c r="F59" s="21"/>
      <c r="G59" s="1"/>
      <c r="H59" s="1"/>
      <c r="I59" s="1"/>
      <c r="J59" s="1"/>
      <c r="K59" s="1"/>
      <c r="L59" s="1"/>
      <c r="M59" s="1"/>
      <c r="N59" s="1"/>
      <c r="O59" s="1"/>
      <c r="P59" s="1"/>
      <c r="Q59" s="1"/>
      <c r="R59" s="1"/>
      <c r="S59" s="1"/>
      <c r="T59" s="1"/>
      <c r="U59" s="1"/>
      <c r="V59" s="1"/>
      <c r="W59" s="1"/>
      <c r="X59" s="1"/>
      <c r="Y59" s="1"/>
      <c r="Z59" s="1"/>
    </row>
    <row r="60" spans="1:26" ht="19">
      <c r="A60" s="43"/>
      <c r="B60" s="18" t="s">
        <v>131</v>
      </c>
      <c r="C60" s="19" t="s">
        <v>132</v>
      </c>
      <c r="D60" s="20" t="s">
        <v>23</v>
      </c>
      <c r="E60" s="21"/>
      <c r="F60" s="21"/>
      <c r="G60" s="1"/>
      <c r="H60" s="1"/>
      <c r="I60" s="1"/>
      <c r="J60" s="1"/>
      <c r="K60" s="1"/>
      <c r="L60" s="1"/>
      <c r="M60" s="1"/>
      <c r="N60" s="1"/>
      <c r="O60" s="1"/>
      <c r="P60" s="1"/>
      <c r="Q60" s="1"/>
      <c r="R60" s="1"/>
      <c r="S60" s="1"/>
      <c r="T60" s="1"/>
      <c r="U60" s="1"/>
      <c r="V60" s="1"/>
      <c r="W60" s="1"/>
      <c r="X60" s="1"/>
      <c r="Y60" s="1"/>
      <c r="Z60" s="1"/>
    </row>
    <row r="61" spans="1:26" ht="19">
      <c r="A61" s="43"/>
      <c r="B61" s="18" t="s">
        <v>133</v>
      </c>
      <c r="C61" s="19" t="s">
        <v>134</v>
      </c>
      <c r="D61" s="20" t="s">
        <v>23</v>
      </c>
      <c r="E61" s="21"/>
      <c r="F61" s="21"/>
      <c r="G61" s="1"/>
      <c r="H61" s="1"/>
      <c r="I61" s="1"/>
      <c r="J61" s="1"/>
      <c r="K61" s="1"/>
      <c r="L61" s="1"/>
      <c r="M61" s="1"/>
      <c r="N61" s="1"/>
      <c r="O61" s="1"/>
      <c r="P61" s="1"/>
      <c r="Q61" s="1"/>
      <c r="R61" s="1"/>
      <c r="S61" s="1"/>
      <c r="T61" s="1"/>
      <c r="U61" s="1"/>
      <c r="V61" s="1"/>
      <c r="W61" s="1"/>
      <c r="X61" s="1"/>
      <c r="Y61" s="1"/>
      <c r="Z61" s="1"/>
    </row>
    <row r="62" spans="1:26" ht="34">
      <c r="A62" s="43"/>
      <c r="B62" s="18" t="s">
        <v>135</v>
      </c>
      <c r="C62" s="19" t="s">
        <v>136</v>
      </c>
      <c r="D62" s="20" t="s">
        <v>23</v>
      </c>
      <c r="E62" s="21"/>
      <c r="F62" s="21"/>
      <c r="G62" s="1"/>
      <c r="H62" s="1"/>
      <c r="I62" s="1"/>
      <c r="J62" s="1"/>
      <c r="K62" s="1"/>
      <c r="L62" s="1"/>
      <c r="M62" s="1"/>
      <c r="N62" s="1"/>
      <c r="O62" s="1"/>
      <c r="P62" s="1"/>
      <c r="Q62" s="1"/>
      <c r="R62" s="1"/>
      <c r="S62" s="1"/>
      <c r="T62" s="1"/>
      <c r="U62" s="1"/>
      <c r="V62" s="1"/>
      <c r="W62" s="1"/>
      <c r="X62" s="1"/>
      <c r="Y62" s="1"/>
      <c r="Z62" s="1"/>
    </row>
    <row r="63" spans="1:26" ht="34">
      <c r="A63" s="43"/>
      <c r="B63" s="18" t="s">
        <v>137</v>
      </c>
      <c r="C63" s="19" t="s">
        <v>138</v>
      </c>
      <c r="D63" s="20" t="s">
        <v>23</v>
      </c>
      <c r="E63" s="21"/>
      <c r="F63" s="21"/>
      <c r="G63" s="1"/>
      <c r="H63" s="1"/>
      <c r="I63" s="1"/>
      <c r="J63" s="1"/>
      <c r="K63" s="1"/>
      <c r="L63" s="1"/>
      <c r="M63" s="1"/>
      <c r="N63" s="1"/>
      <c r="O63" s="1"/>
      <c r="P63" s="1"/>
      <c r="Q63" s="1"/>
      <c r="R63" s="1"/>
      <c r="S63" s="1"/>
      <c r="T63" s="1"/>
      <c r="U63" s="1"/>
      <c r="V63" s="1"/>
      <c r="W63" s="1"/>
      <c r="X63" s="1"/>
      <c r="Y63" s="1"/>
      <c r="Z63" s="1"/>
    </row>
    <row r="64" spans="1:26" ht="34">
      <c r="A64" s="43"/>
      <c r="B64" s="18" t="s">
        <v>139</v>
      </c>
      <c r="C64" s="19" t="s">
        <v>140</v>
      </c>
      <c r="D64" s="20" t="s">
        <v>23</v>
      </c>
      <c r="E64" s="21"/>
      <c r="F64" s="21"/>
      <c r="G64" s="1"/>
      <c r="H64" s="1"/>
      <c r="I64" s="1"/>
      <c r="J64" s="1"/>
      <c r="K64" s="1"/>
      <c r="L64" s="1"/>
      <c r="M64" s="1"/>
      <c r="N64" s="1"/>
      <c r="O64" s="1"/>
      <c r="P64" s="1"/>
      <c r="Q64" s="1"/>
      <c r="R64" s="1"/>
      <c r="S64" s="1"/>
      <c r="T64" s="1"/>
      <c r="U64" s="1"/>
      <c r="V64" s="1"/>
      <c r="W64" s="1"/>
      <c r="X64" s="1"/>
      <c r="Y64" s="1"/>
      <c r="Z64" s="1"/>
    </row>
    <row r="65" spans="1:26" ht="34">
      <c r="A65" s="44"/>
      <c r="B65" s="18" t="s">
        <v>141</v>
      </c>
      <c r="C65" s="19" t="s">
        <v>142</v>
      </c>
      <c r="D65" s="20" t="s">
        <v>23</v>
      </c>
      <c r="E65" s="21"/>
      <c r="F65" s="21"/>
      <c r="G65" s="1"/>
      <c r="H65" s="1"/>
      <c r="I65" s="1"/>
      <c r="J65" s="1"/>
      <c r="K65" s="1"/>
      <c r="L65" s="1"/>
      <c r="M65" s="1"/>
      <c r="N65" s="1"/>
      <c r="O65" s="1"/>
      <c r="P65" s="1"/>
      <c r="Q65" s="1"/>
      <c r="R65" s="1"/>
      <c r="S65" s="1"/>
      <c r="T65" s="1"/>
      <c r="U65" s="1"/>
      <c r="V65" s="1"/>
      <c r="W65" s="1"/>
      <c r="X65" s="1"/>
      <c r="Y65" s="1"/>
      <c r="Z65" s="1"/>
    </row>
    <row r="66" spans="1:26" ht="34">
      <c r="A66" s="42" t="s">
        <v>143</v>
      </c>
      <c r="B66" s="18" t="s">
        <v>144</v>
      </c>
      <c r="C66" s="19" t="s">
        <v>145</v>
      </c>
      <c r="D66" s="20" t="s">
        <v>23</v>
      </c>
      <c r="E66" s="21"/>
      <c r="F66" s="21"/>
      <c r="G66" s="1"/>
      <c r="H66" s="1"/>
      <c r="I66" s="1"/>
      <c r="J66" s="1"/>
      <c r="K66" s="1"/>
      <c r="L66" s="1"/>
      <c r="M66" s="1"/>
      <c r="N66" s="1"/>
      <c r="O66" s="1"/>
      <c r="P66" s="1"/>
      <c r="Q66" s="1"/>
      <c r="R66" s="1"/>
      <c r="S66" s="1"/>
      <c r="T66" s="1"/>
      <c r="U66" s="1"/>
      <c r="V66" s="1"/>
      <c r="W66" s="1"/>
      <c r="X66" s="1"/>
      <c r="Y66" s="1"/>
      <c r="Z66" s="1"/>
    </row>
    <row r="67" spans="1:26" ht="34">
      <c r="A67" s="43"/>
      <c r="B67" s="18" t="s">
        <v>146</v>
      </c>
      <c r="C67" s="19" t="s">
        <v>147</v>
      </c>
      <c r="D67" s="20" t="s">
        <v>23</v>
      </c>
      <c r="E67" s="21"/>
      <c r="F67" s="21"/>
      <c r="G67" s="1"/>
      <c r="H67" s="1"/>
      <c r="I67" s="1"/>
      <c r="J67" s="1"/>
      <c r="K67" s="1"/>
      <c r="L67" s="1"/>
      <c r="M67" s="1"/>
      <c r="N67" s="1"/>
      <c r="O67" s="1"/>
      <c r="P67" s="1"/>
      <c r="Q67" s="1"/>
      <c r="R67" s="1"/>
      <c r="S67" s="1"/>
      <c r="T67" s="1"/>
      <c r="U67" s="1"/>
      <c r="V67" s="1"/>
      <c r="W67" s="1"/>
      <c r="X67" s="1"/>
      <c r="Y67" s="1"/>
      <c r="Z67" s="1"/>
    </row>
    <row r="68" spans="1:26" ht="19">
      <c r="A68" s="43"/>
      <c r="B68" s="18" t="s">
        <v>148</v>
      </c>
      <c r="C68" s="19" t="s">
        <v>149</v>
      </c>
      <c r="D68" s="20" t="s">
        <v>53</v>
      </c>
      <c r="E68" s="21" t="s">
        <v>150</v>
      </c>
      <c r="F68" s="21"/>
      <c r="G68" s="1"/>
      <c r="H68" s="1"/>
      <c r="I68" s="1"/>
      <c r="J68" s="1"/>
      <c r="K68" s="1"/>
      <c r="L68" s="1"/>
      <c r="M68" s="1"/>
      <c r="N68" s="1"/>
      <c r="O68" s="1"/>
      <c r="P68" s="1"/>
      <c r="Q68" s="1"/>
      <c r="R68" s="1"/>
      <c r="S68" s="1"/>
      <c r="T68" s="1"/>
      <c r="U68" s="1"/>
      <c r="V68" s="1"/>
      <c r="W68" s="1"/>
      <c r="X68" s="1"/>
      <c r="Y68" s="1"/>
      <c r="Z68" s="1"/>
    </row>
    <row r="69" spans="1:26" ht="34">
      <c r="A69" s="44"/>
      <c r="B69" s="18" t="s">
        <v>151</v>
      </c>
      <c r="C69" s="19" t="s">
        <v>152</v>
      </c>
      <c r="D69" s="20" t="s">
        <v>23</v>
      </c>
      <c r="E69" s="21"/>
      <c r="F69" s="21"/>
      <c r="G69" s="1"/>
      <c r="H69" s="1"/>
      <c r="I69" s="1"/>
      <c r="J69" s="1"/>
      <c r="K69" s="1"/>
      <c r="L69" s="1"/>
      <c r="M69" s="1"/>
      <c r="N69" s="1"/>
      <c r="O69" s="1"/>
      <c r="P69" s="1"/>
      <c r="Q69" s="1"/>
      <c r="R69" s="1"/>
      <c r="S69" s="1"/>
      <c r="T69" s="1"/>
      <c r="U69" s="1"/>
      <c r="V69" s="1"/>
      <c r="W69" s="1"/>
      <c r="X69" s="1"/>
      <c r="Y69" s="1"/>
      <c r="Z69" s="1"/>
    </row>
    <row r="70" spans="1:26" ht="68">
      <c r="A70" s="42" t="s">
        <v>153</v>
      </c>
      <c r="B70" s="27">
        <v>45667</v>
      </c>
      <c r="C70" s="28" t="s">
        <v>154</v>
      </c>
      <c r="D70" s="20" t="s">
        <v>53</v>
      </c>
      <c r="E70" s="21" t="s">
        <v>289</v>
      </c>
      <c r="F70" s="25"/>
      <c r="G70" s="1"/>
      <c r="H70" s="1"/>
      <c r="I70" s="1"/>
      <c r="J70" s="1"/>
      <c r="K70" s="1"/>
      <c r="L70" s="1"/>
      <c r="M70" s="1"/>
      <c r="N70" s="1"/>
      <c r="O70" s="1"/>
      <c r="P70" s="1"/>
      <c r="Q70" s="1"/>
      <c r="R70" s="1"/>
      <c r="S70" s="1"/>
      <c r="T70" s="1"/>
      <c r="U70" s="1"/>
      <c r="V70" s="1"/>
      <c r="W70" s="1"/>
      <c r="X70" s="1"/>
      <c r="Y70" s="1"/>
      <c r="Z70" s="1"/>
    </row>
    <row r="71" spans="1:26" ht="34">
      <c r="A71" s="43"/>
      <c r="B71" s="18" t="s">
        <v>157</v>
      </c>
      <c r="C71" s="19" t="s">
        <v>158</v>
      </c>
      <c r="D71" s="20" t="s">
        <v>53</v>
      </c>
      <c r="E71" s="21" t="s">
        <v>159</v>
      </c>
      <c r="F71" s="21"/>
      <c r="G71" s="1"/>
      <c r="H71" s="1"/>
      <c r="I71" s="1"/>
      <c r="J71" s="1"/>
      <c r="K71" s="1"/>
      <c r="L71" s="1"/>
      <c r="M71" s="1"/>
      <c r="N71" s="1"/>
      <c r="O71" s="1"/>
      <c r="P71" s="1"/>
      <c r="Q71" s="1"/>
      <c r="R71" s="1"/>
      <c r="S71" s="1"/>
      <c r="T71" s="1"/>
      <c r="U71" s="1"/>
      <c r="V71" s="1"/>
      <c r="W71" s="1"/>
      <c r="X71" s="1"/>
      <c r="Y71" s="1"/>
      <c r="Z71" s="1"/>
    </row>
    <row r="72" spans="1:26" ht="34">
      <c r="A72" s="43"/>
      <c r="B72" s="18" t="s">
        <v>160</v>
      </c>
      <c r="C72" s="19" t="s">
        <v>161</v>
      </c>
      <c r="D72" s="20" t="s">
        <v>53</v>
      </c>
      <c r="E72" s="21" t="s">
        <v>162</v>
      </c>
      <c r="F72" s="21"/>
      <c r="G72" s="1"/>
      <c r="H72" s="1"/>
      <c r="I72" s="1"/>
      <c r="J72" s="1"/>
      <c r="K72" s="1"/>
      <c r="L72" s="1"/>
      <c r="M72" s="1"/>
      <c r="N72" s="1"/>
      <c r="O72" s="1"/>
      <c r="P72" s="1"/>
      <c r="Q72" s="1"/>
      <c r="R72" s="1"/>
      <c r="S72" s="1"/>
      <c r="T72" s="1"/>
      <c r="U72" s="1"/>
      <c r="V72" s="1"/>
      <c r="W72" s="1"/>
      <c r="X72" s="1"/>
      <c r="Y72" s="1"/>
      <c r="Z72" s="1"/>
    </row>
    <row r="73" spans="1:26" ht="51">
      <c r="A73" s="43"/>
      <c r="B73" s="18" t="s">
        <v>163</v>
      </c>
      <c r="C73" s="19" t="s">
        <v>164</v>
      </c>
      <c r="D73" s="20" t="s">
        <v>53</v>
      </c>
      <c r="E73" s="21" t="s">
        <v>165</v>
      </c>
      <c r="F73" s="21"/>
      <c r="G73" s="1"/>
      <c r="H73" s="1"/>
      <c r="I73" s="1"/>
      <c r="J73" s="1"/>
      <c r="K73" s="1"/>
      <c r="L73" s="1"/>
      <c r="M73" s="1"/>
      <c r="N73" s="1"/>
      <c r="O73" s="1"/>
      <c r="P73" s="1"/>
      <c r="Q73" s="1"/>
      <c r="R73" s="1"/>
      <c r="S73" s="1"/>
      <c r="T73" s="1"/>
      <c r="U73" s="1"/>
      <c r="V73" s="1"/>
      <c r="W73" s="1"/>
      <c r="X73" s="1"/>
      <c r="Y73" s="1"/>
      <c r="Z73" s="1"/>
    </row>
    <row r="74" spans="1:26" ht="34">
      <c r="A74" s="43"/>
      <c r="B74" s="18" t="s">
        <v>166</v>
      </c>
      <c r="C74" s="19" t="s">
        <v>167</v>
      </c>
      <c r="D74" s="20" t="s">
        <v>23</v>
      </c>
      <c r="E74" s="21" t="s">
        <v>168</v>
      </c>
      <c r="F74" s="21"/>
      <c r="G74" s="1"/>
      <c r="H74" s="1"/>
      <c r="I74" s="1"/>
      <c r="J74" s="1"/>
      <c r="K74" s="1"/>
      <c r="L74" s="1"/>
      <c r="M74" s="1"/>
      <c r="N74" s="1"/>
      <c r="O74" s="1"/>
      <c r="P74" s="1"/>
      <c r="Q74" s="1"/>
      <c r="R74" s="1"/>
      <c r="S74" s="1"/>
      <c r="T74" s="1"/>
      <c r="U74" s="1"/>
      <c r="V74" s="1"/>
      <c r="W74" s="1"/>
      <c r="X74" s="1"/>
      <c r="Y74" s="1"/>
      <c r="Z74" s="1"/>
    </row>
    <row r="75" spans="1:26" ht="34">
      <c r="A75" s="43"/>
      <c r="B75" s="18" t="s">
        <v>169</v>
      </c>
      <c r="C75" s="19" t="s">
        <v>170</v>
      </c>
      <c r="D75" s="20" t="s">
        <v>23</v>
      </c>
      <c r="E75" s="21"/>
      <c r="F75" s="21"/>
      <c r="G75" s="1"/>
      <c r="H75" s="1"/>
      <c r="I75" s="1"/>
      <c r="J75" s="1"/>
      <c r="K75" s="1"/>
      <c r="L75" s="1"/>
      <c r="M75" s="1"/>
      <c r="N75" s="1"/>
      <c r="O75" s="1"/>
      <c r="P75" s="1"/>
      <c r="Q75" s="1"/>
      <c r="R75" s="1"/>
      <c r="S75" s="1"/>
      <c r="T75" s="1"/>
      <c r="U75" s="1"/>
      <c r="V75" s="1"/>
      <c r="W75" s="1"/>
      <c r="X75" s="1"/>
      <c r="Y75" s="1"/>
      <c r="Z75" s="1"/>
    </row>
    <row r="76" spans="1:26" ht="34">
      <c r="A76" s="43"/>
      <c r="B76" s="18" t="s">
        <v>171</v>
      </c>
      <c r="C76" s="19" t="s">
        <v>172</v>
      </c>
      <c r="D76" s="20" t="s">
        <v>53</v>
      </c>
      <c r="E76" s="21" t="s">
        <v>173</v>
      </c>
      <c r="F76" s="21"/>
      <c r="G76" s="1"/>
      <c r="H76" s="1"/>
      <c r="I76" s="1"/>
      <c r="J76" s="1"/>
      <c r="K76" s="1"/>
      <c r="L76" s="1"/>
      <c r="M76" s="1"/>
      <c r="N76" s="1"/>
      <c r="O76" s="1"/>
      <c r="P76" s="1"/>
      <c r="Q76" s="1"/>
      <c r="R76" s="1"/>
      <c r="S76" s="1"/>
      <c r="T76" s="1"/>
      <c r="U76" s="1"/>
      <c r="V76" s="1"/>
      <c r="W76" s="1"/>
      <c r="X76" s="1"/>
      <c r="Y76" s="1"/>
      <c r="Z76" s="1"/>
    </row>
    <row r="77" spans="1:26" ht="34">
      <c r="A77" s="43"/>
      <c r="B77" s="18" t="s">
        <v>174</v>
      </c>
      <c r="C77" s="19" t="s">
        <v>175</v>
      </c>
      <c r="D77" s="20" t="s">
        <v>23</v>
      </c>
      <c r="E77" s="21"/>
      <c r="F77" s="21"/>
      <c r="G77" s="1"/>
      <c r="H77" s="1"/>
      <c r="I77" s="1"/>
      <c r="J77" s="1"/>
      <c r="K77" s="1"/>
      <c r="L77" s="1"/>
      <c r="M77" s="1"/>
      <c r="N77" s="1"/>
      <c r="O77" s="1"/>
      <c r="P77" s="1"/>
      <c r="Q77" s="1"/>
      <c r="R77" s="1"/>
      <c r="S77" s="1"/>
      <c r="T77" s="1"/>
      <c r="U77" s="1"/>
      <c r="V77" s="1"/>
      <c r="W77" s="1"/>
      <c r="X77" s="1"/>
      <c r="Y77" s="1"/>
      <c r="Z77" s="1"/>
    </row>
    <row r="78" spans="1:26" ht="51">
      <c r="A78" s="43"/>
      <c r="B78" s="18" t="s">
        <v>176</v>
      </c>
      <c r="C78" s="19" t="s">
        <v>177</v>
      </c>
      <c r="D78" s="20" t="s">
        <v>23</v>
      </c>
      <c r="E78" s="21"/>
      <c r="F78" s="21"/>
      <c r="G78" s="1"/>
      <c r="H78" s="1"/>
      <c r="I78" s="1"/>
      <c r="J78" s="1"/>
      <c r="K78" s="1"/>
      <c r="L78" s="1"/>
      <c r="M78" s="1"/>
      <c r="N78" s="1"/>
      <c r="O78" s="1"/>
      <c r="P78" s="1"/>
      <c r="Q78" s="1"/>
      <c r="R78" s="1"/>
      <c r="S78" s="1"/>
      <c r="T78" s="1"/>
      <c r="U78" s="1"/>
      <c r="V78" s="1"/>
      <c r="W78" s="1"/>
      <c r="X78" s="1"/>
      <c r="Y78" s="1"/>
      <c r="Z78" s="1"/>
    </row>
    <row r="79" spans="1:26" ht="51">
      <c r="A79" s="43"/>
      <c r="B79" s="18" t="s">
        <v>178</v>
      </c>
      <c r="C79" s="19" t="s">
        <v>179</v>
      </c>
      <c r="D79" s="20" t="s">
        <v>23</v>
      </c>
      <c r="E79" s="21"/>
      <c r="F79" s="21"/>
      <c r="G79" s="1"/>
      <c r="H79" s="1"/>
      <c r="I79" s="1"/>
      <c r="J79" s="1"/>
      <c r="K79" s="1"/>
      <c r="L79" s="1"/>
      <c r="M79" s="1"/>
      <c r="N79" s="1"/>
      <c r="O79" s="1"/>
      <c r="P79" s="1"/>
      <c r="Q79" s="1"/>
      <c r="R79" s="1"/>
      <c r="S79" s="1"/>
      <c r="T79" s="1"/>
      <c r="U79" s="1"/>
      <c r="V79" s="1"/>
      <c r="W79" s="1"/>
      <c r="X79" s="1"/>
      <c r="Y79" s="1"/>
      <c r="Z79" s="1"/>
    </row>
    <row r="80" spans="1:26" ht="85">
      <c r="A80" s="43"/>
      <c r="B80" s="18" t="s">
        <v>180</v>
      </c>
      <c r="C80" s="19" t="s">
        <v>181</v>
      </c>
      <c r="D80" s="20" t="s">
        <v>53</v>
      </c>
      <c r="E80" s="21" t="s">
        <v>182</v>
      </c>
      <c r="F80" s="21"/>
      <c r="G80" s="1"/>
      <c r="H80" s="1"/>
      <c r="I80" s="1"/>
      <c r="J80" s="1"/>
      <c r="K80" s="1"/>
      <c r="L80" s="1"/>
      <c r="M80" s="1"/>
      <c r="N80" s="1"/>
      <c r="O80" s="1"/>
      <c r="P80" s="1"/>
      <c r="Q80" s="1"/>
      <c r="R80" s="1"/>
      <c r="S80" s="1"/>
      <c r="T80" s="1"/>
      <c r="U80" s="1"/>
      <c r="V80" s="1"/>
      <c r="W80" s="1"/>
      <c r="X80" s="1"/>
      <c r="Y80" s="1"/>
      <c r="Z80" s="1"/>
    </row>
    <row r="81" spans="1:26" ht="170">
      <c r="A81" s="43"/>
      <c r="B81" s="18" t="s">
        <v>183</v>
      </c>
      <c r="C81" s="19" t="s">
        <v>184</v>
      </c>
      <c r="D81" s="20" t="s">
        <v>53</v>
      </c>
      <c r="E81" s="21" t="s">
        <v>185</v>
      </c>
      <c r="F81" s="21"/>
      <c r="G81" s="1"/>
      <c r="H81" s="1"/>
      <c r="I81" s="1"/>
      <c r="J81" s="1"/>
      <c r="K81" s="1"/>
      <c r="L81" s="1"/>
      <c r="M81" s="1"/>
      <c r="N81" s="1"/>
      <c r="O81" s="1"/>
      <c r="P81" s="1"/>
      <c r="Q81" s="1"/>
      <c r="R81" s="1"/>
      <c r="S81" s="1"/>
      <c r="T81" s="1"/>
      <c r="U81" s="1"/>
      <c r="V81" s="1"/>
      <c r="W81" s="1"/>
      <c r="X81" s="1"/>
      <c r="Y81" s="1"/>
      <c r="Z81" s="1"/>
    </row>
    <row r="82" spans="1:26" ht="51">
      <c r="A82" s="43"/>
      <c r="B82" s="18" t="s">
        <v>186</v>
      </c>
      <c r="C82" s="19" t="s">
        <v>187</v>
      </c>
      <c r="D82" s="20" t="s">
        <v>53</v>
      </c>
      <c r="E82" s="21" t="s">
        <v>188</v>
      </c>
      <c r="F82" s="21"/>
      <c r="G82" s="1"/>
      <c r="H82" s="1"/>
      <c r="I82" s="1"/>
      <c r="J82" s="1"/>
      <c r="K82" s="1"/>
      <c r="L82" s="1"/>
      <c r="M82" s="1"/>
      <c r="N82" s="1"/>
      <c r="O82" s="1"/>
      <c r="P82" s="1"/>
      <c r="Q82" s="1"/>
      <c r="R82" s="1"/>
      <c r="S82" s="1"/>
      <c r="T82" s="1"/>
      <c r="U82" s="1"/>
      <c r="V82" s="1"/>
      <c r="W82" s="1"/>
      <c r="X82" s="1"/>
      <c r="Y82" s="1"/>
      <c r="Z82" s="1"/>
    </row>
    <row r="83" spans="1:26" ht="51">
      <c r="A83" s="44"/>
      <c r="B83" s="18" t="s">
        <v>189</v>
      </c>
      <c r="C83" s="19" t="s">
        <v>190</v>
      </c>
      <c r="D83" s="20" t="s">
        <v>53</v>
      </c>
      <c r="E83" s="21" t="s">
        <v>191</v>
      </c>
      <c r="F83" s="21"/>
      <c r="G83" s="1"/>
      <c r="H83" s="1"/>
      <c r="I83" s="1"/>
      <c r="J83" s="1"/>
      <c r="K83" s="1"/>
      <c r="L83" s="1"/>
      <c r="M83" s="1"/>
      <c r="N83" s="1"/>
      <c r="O83" s="1"/>
      <c r="P83" s="1"/>
      <c r="Q83" s="1"/>
      <c r="R83" s="1"/>
      <c r="S83" s="1"/>
      <c r="T83" s="1"/>
      <c r="U83" s="1"/>
      <c r="V83" s="1"/>
      <c r="W83" s="1"/>
      <c r="X83" s="1"/>
      <c r="Y83" s="1"/>
      <c r="Z83" s="1"/>
    </row>
    <row r="84" spans="1:26" ht="51">
      <c r="A84" s="42" t="s">
        <v>192</v>
      </c>
      <c r="B84" s="18" t="s">
        <v>193</v>
      </c>
      <c r="C84" s="19" t="s">
        <v>194</v>
      </c>
      <c r="D84" s="20" t="s">
        <v>53</v>
      </c>
      <c r="E84" s="21" t="s">
        <v>195</v>
      </c>
      <c r="F84" s="21"/>
      <c r="G84" s="1"/>
      <c r="H84" s="1"/>
      <c r="I84" s="1"/>
      <c r="J84" s="1"/>
      <c r="K84" s="1"/>
      <c r="L84" s="1"/>
      <c r="M84" s="1"/>
      <c r="N84" s="1"/>
      <c r="O84" s="1"/>
      <c r="P84" s="1"/>
      <c r="Q84" s="1"/>
      <c r="R84" s="1"/>
      <c r="S84" s="1"/>
      <c r="T84" s="1"/>
      <c r="U84" s="1"/>
      <c r="V84" s="1"/>
      <c r="W84" s="1"/>
      <c r="X84" s="1"/>
      <c r="Y84" s="1"/>
      <c r="Z84" s="1"/>
    </row>
    <row r="85" spans="1:26" ht="34">
      <c r="A85" s="43"/>
      <c r="B85" s="18" t="s">
        <v>196</v>
      </c>
      <c r="C85" s="19" t="s">
        <v>197</v>
      </c>
      <c r="D85" s="20" t="s">
        <v>23</v>
      </c>
      <c r="E85" s="21" t="s">
        <v>198</v>
      </c>
      <c r="F85" s="21"/>
      <c r="G85" s="1"/>
      <c r="H85" s="1"/>
      <c r="I85" s="1"/>
      <c r="J85" s="1"/>
      <c r="K85" s="1"/>
      <c r="L85" s="1"/>
      <c r="M85" s="1"/>
      <c r="N85" s="1"/>
      <c r="O85" s="1"/>
      <c r="P85" s="1"/>
      <c r="Q85" s="1"/>
      <c r="R85" s="1"/>
      <c r="S85" s="1"/>
      <c r="T85" s="1"/>
      <c r="U85" s="1"/>
      <c r="V85" s="1"/>
      <c r="W85" s="1"/>
      <c r="X85" s="1"/>
      <c r="Y85" s="1"/>
      <c r="Z85" s="1"/>
    </row>
    <row r="86" spans="1:26" ht="51">
      <c r="A86" s="43"/>
      <c r="B86" s="18" t="s">
        <v>199</v>
      </c>
      <c r="C86" s="19" t="s">
        <v>200</v>
      </c>
      <c r="D86" s="20" t="s">
        <v>23</v>
      </c>
      <c r="E86" s="21"/>
      <c r="F86" s="21"/>
      <c r="G86" s="1"/>
      <c r="H86" s="1"/>
      <c r="I86" s="1"/>
      <c r="J86" s="1"/>
      <c r="K86" s="1"/>
      <c r="L86" s="1"/>
      <c r="M86" s="1"/>
      <c r="N86" s="1"/>
      <c r="O86" s="1"/>
      <c r="P86" s="1"/>
      <c r="Q86" s="1"/>
      <c r="R86" s="1"/>
      <c r="S86" s="1"/>
      <c r="T86" s="1"/>
      <c r="U86" s="1"/>
      <c r="V86" s="1"/>
      <c r="W86" s="1"/>
      <c r="X86" s="1"/>
      <c r="Y86" s="1"/>
      <c r="Z86" s="1"/>
    </row>
    <row r="87" spans="1:26" ht="34">
      <c r="A87" s="43"/>
      <c r="B87" s="18" t="s">
        <v>201</v>
      </c>
      <c r="C87" s="19" t="s">
        <v>202</v>
      </c>
      <c r="D87" s="20" t="s">
        <v>53</v>
      </c>
      <c r="E87" s="21" t="s">
        <v>203</v>
      </c>
      <c r="F87" s="21"/>
      <c r="G87" s="1"/>
      <c r="H87" s="1"/>
      <c r="I87" s="1"/>
      <c r="J87" s="1"/>
      <c r="K87" s="1"/>
      <c r="L87" s="1"/>
      <c r="M87" s="1"/>
      <c r="N87" s="1"/>
      <c r="O87" s="1"/>
      <c r="P87" s="1"/>
      <c r="Q87" s="1"/>
      <c r="R87" s="1"/>
      <c r="S87" s="1"/>
      <c r="T87" s="1"/>
      <c r="U87" s="1"/>
      <c r="V87" s="1"/>
      <c r="W87" s="1"/>
      <c r="X87" s="1"/>
      <c r="Y87" s="1"/>
      <c r="Z87" s="1"/>
    </row>
    <row r="88" spans="1:26" ht="34">
      <c r="A88" s="43"/>
      <c r="B88" s="18" t="s">
        <v>204</v>
      </c>
      <c r="C88" s="19" t="s">
        <v>205</v>
      </c>
      <c r="D88" s="20" t="s">
        <v>23</v>
      </c>
      <c r="E88" s="21"/>
      <c r="F88" s="21"/>
      <c r="G88" s="1"/>
      <c r="H88" s="1"/>
      <c r="I88" s="1"/>
      <c r="J88" s="1"/>
      <c r="K88" s="1"/>
      <c r="L88" s="1"/>
      <c r="M88" s="1"/>
      <c r="N88" s="1"/>
      <c r="O88" s="1"/>
      <c r="P88" s="1"/>
      <c r="Q88" s="1"/>
      <c r="R88" s="1"/>
      <c r="S88" s="1"/>
      <c r="T88" s="1"/>
      <c r="U88" s="1"/>
      <c r="V88" s="1"/>
      <c r="W88" s="1"/>
      <c r="X88" s="1"/>
      <c r="Y88" s="1"/>
      <c r="Z88" s="1"/>
    </row>
    <row r="89" spans="1:26" ht="34">
      <c r="A89" s="43"/>
      <c r="B89" s="18" t="s">
        <v>206</v>
      </c>
      <c r="C89" s="19" t="s">
        <v>207</v>
      </c>
      <c r="D89" s="20" t="s">
        <v>23</v>
      </c>
      <c r="E89" s="21"/>
      <c r="F89" s="21"/>
      <c r="G89" s="1"/>
      <c r="H89" s="1"/>
      <c r="I89" s="1"/>
      <c r="J89" s="1"/>
      <c r="K89" s="1"/>
      <c r="L89" s="1"/>
      <c r="M89" s="1"/>
      <c r="N89" s="1"/>
      <c r="O89" s="1"/>
      <c r="P89" s="1"/>
      <c r="Q89" s="1"/>
      <c r="R89" s="1"/>
      <c r="S89" s="1"/>
      <c r="T89" s="1"/>
      <c r="U89" s="1"/>
      <c r="V89" s="1"/>
      <c r="W89" s="1"/>
      <c r="X89" s="1"/>
      <c r="Y89" s="1"/>
      <c r="Z89" s="1"/>
    </row>
    <row r="90" spans="1:26" ht="34">
      <c r="A90" s="43"/>
      <c r="B90" s="18" t="s">
        <v>208</v>
      </c>
      <c r="C90" s="19" t="s">
        <v>209</v>
      </c>
      <c r="D90" s="20" t="s">
        <v>23</v>
      </c>
      <c r="E90" s="21"/>
      <c r="F90" s="21"/>
      <c r="G90" s="1"/>
      <c r="H90" s="1"/>
      <c r="I90" s="1"/>
      <c r="J90" s="1"/>
      <c r="K90" s="1"/>
      <c r="L90" s="1"/>
      <c r="M90" s="1"/>
      <c r="N90" s="1"/>
      <c r="O90" s="1"/>
      <c r="P90" s="1"/>
      <c r="Q90" s="1"/>
      <c r="R90" s="1"/>
      <c r="S90" s="1"/>
      <c r="T90" s="1"/>
      <c r="U90" s="1"/>
      <c r="V90" s="1"/>
      <c r="W90" s="1"/>
      <c r="X90" s="1"/>
      <c r="Y90" s="1"/>
      <c r="Z90" s="1"/>
    </row>
    <row r="91" spans="1:26" ht="34">
      <c r="A91" s="43"/>
      <c r="B91" s="18" t="s">
        <v>210</v>
      </c>
      <c r="C91" s="19" t="s">
        <v>211</v>
      </c>
      <c r="D91" s="20" t="s">
        <v>23</v>
      </c>
      <c r="E91" s="21" t="s">
        <v>212</v>
      </c>
      <c r="F91" s="21"/>
      <c r="G91" s="1"/>
      <c r="H91" s="1"/>
      <c r="I91" s="1"/>
      <c r="J91" s="1"/>
      <c r="K91" s="1"/>
      <c r="L91" s="1"/>
      <c r="M91" s="1"/>
      <c r="N91" s="1"/>
      <c r="O91" s="1"/>
      <c r="P91" s="1"/>
      <c r="Q91" s="1"/>
      <c r="R91" s="1"/>
      <c r="S91" s="1"/>
      <c r="T91" s="1"/>
      <c r="U91" s="1"/>
      <c r="V91" s="1"/>
      <c r="W91" s="1"/>
      <c r="X91" s="1"/>
      <c r="Y91" s="1"/>
      <c r="Z91" s="1"/>
    </row>
    <row r="92" spans="1:26" ht="34">
      <c r="A92" s="43"/>
      <c r="B92" s="18" t="s">
        <v>213</v>
      </c>
      <c r="C92" s="19" t="s">
        <v>214</v>
      </c>
      <c r="D92" s="20" t="s">
        <v>23</v>
      </c>
      <c r="E92" s="21"/>
      <c r="F92" s="21"/>
      <c r="G92" s="1"/>
      <c r="H92" s="1"/>
      <c r="I92" s="1"/>
      <c r="J92" s="1"/>
      <c r="K92" s="1"/>
      <c r="L92" s="1"/>
      <c r="M92" s="1"/>
      <c r="N92" s="1"/>
      <c r="O92" s="1"/>
      <c r="P92" s="1"/>
      <c r="Q92" s="1"/>
      <c r="R92" s="1"/>
      <c r="S92" s="1"/>
      <c r="T92" s="1"/>
      <c r="U92" s="1"/>
      <c r="V92" s="1"/>
      <c r="W92" s="1"/>
      <c r="X92" s="1"/>
      <c r="Y92" s="1"/>
      <c r="Z92" s="1"/>
    </row>
    <row r="93" spans="1:26" ht="119">
      <c r="A93" s="43"/>
      <c r="B93" s="27">
        <v>45941</v>
      </c>
      <c r="C93" s="19" t="s">
        <v>215</v>
      </c>
      <c r="D93" s="20" t="s">
        <v>26</v>
      </c>
      <c r="E93" s="29" t="s">
        <v>294</v>
      </c>
      <c r="F93" s="51" t="s">
        <v>301</v>
      </c>
      <c r="G93" s="1"/>
      <c r="H93" s="1"/>
      <c r="I93" s="1"/>
      <c r="J93" s="1"/>
      <c r="K93" s="1"/>
      <c r="L93" s="1"/>
      <c r="M93" s="1"/>
      <c r="N93" s="1"/>
      <c r="O93" s="1"/>
      <c r="P93" s="1"/>
      <c r="Q93" s="1"/>
      <c r="R93" s="1"/>
      <c r="S93" s="1"/>
      <c r="T93" s="1"/>
      <c r="U93" s="1"/>
      <c r="V93" s="1"/>
      <c r="W93" s="1"/>
      <c r="X93" s="1"/>
      <c r="Y93" s="1"/>
      <c r="Z93" s="1"/>
    </row>
    <row r="94" spans="1:26" ht="51">
      <c r="A94" s="43"/>
      <c r="B94" s="18" t="s">
        <v>217</v>
      </c>
      <c r="C94" s="19" t="s">
        <v>218</v>
      </c>
      <c r="D94" s="20" t="s">
        <v>23</v>
      </c>
      <c r="E94" s="21" t="s">
        <v>219</v>
      </c>
      <c r="F94" s="21"/>
      <c r="G94" s="1"/>
      <c r="H94" s="1"/>
      <c r="I94" s="1"/>
      <c r="J94" s="1"/>
      <c r="K94" s="1"/>
      <c r="L94" s="1"/>
      <c r="M94" s="1"/>
      <c r="N94" s="1"/>
      <c r="O94" s="1"/>
      <c r="P94" s="1"/>
      <c r="Q94" s="1"/>
      <c r="R94" s="1"/>
      <c r="S94" s="1"/>
      <c r="T94" s="1"/>
      <c r="U94" s="1"/>
      <c r="V94" s="1"/>
      <c r="W94" s="1"/>
      <c r="X94" s="1"/>
      <c r="Y94" s="1"/>
      <c r="Z94" s="1"/>
    </row>
    <row r="95" spans="1:26" ht="85">
      <c r="A95" s="43"/>
      <c r="B95" s="18" t="s">
        <v>220</v>
      </c>
      <c r="C95" s="19" t="s">
        <v>221</v>
      </c>
      <c r="D95" s="20" t="s">
        <v>23</v>
      </c>
      <c r="E95" s="21"/>
      <c r="F95" s="21"/>
      <c r="G95" s="1"/>
      <c r="H95" s="1"/>
      <c r="I95" s="1"/>
      <c r="J95" s="1"/>
      <c r="K95" s="1"/>
      <c r="L95" s="1"/>
      <c r="M95" s="1"/>
      <c r="N95" s="1"/>
      <c r="O95" s="1"/>
      <c r="P95" s="1"/>
      <c r="Q95" s="1"/>
      <c r="R95" s="1"/>
      <c r="S95" s="1"/>
      <c r="T95" s="1"/>
      <c r="U95" s="1"/>
      <c r="V95" s="1"/>
      <c r="W95" s="1"/>
      <c r="X95" s="1"/>
      <c r="Y95" s="1"/>
      <c r="Z95" s="1"/>
    </row>
    <row r="96" spans="1:26" ht="51">
      <c r="A96" s="44"/>
      <c r="B96" s="18" t="s">
        <v>222</v>
      </c>
      <c r="C96" s="19" t="s">
        <v>223</v>
      </c>
      <c r="D96" s="20" t="s">
        <v>53</v>
      </c>
      <c r="E96" s="25" t="s">
        <v>290</v>
      </c>
      <c r="F96" s="25"/>
      <c r="G96" s="1"/>
      <c r="H96" s="1"/>
      <c r="I96" s="1"/>
      <c r="J96" s="1"/>
      <c r="K96" s="1"/>
      <c r="L96" s="1"/>
      <c r="M96" s="1"/>
      <c r="N96" s="1"/>
      <c r="O96" s="1"/>
      <c r="P96" s="1"/>
      <c r="Q96" s="1"/>
      <c r="R96" s="1"/>
      <c r="S96" s="1"/>
      <c r="T96" s="1"/>
      <c r="U96" s="1"/>
      <c r="V96" s="1"/>
      <c r="W96" s="1"/>
      <c r="X96" s="1"/>
      <c r="Y96" s="1"/>
      <c r="Z96" s="1"/>
    </row>
    <row r="97" spans="1:26" ht="34">
      <c r="A97" s="42" t="s">
        <v>225</v>
      </c>
      <c r="B97" s="18" t="s">
        <v>226</v>
      </c>
      <c r="C97" s="19" t="s">
        <v>227</v>
      </c>
      <c r="D97" s="20" t="s">
        <v>23</v>
      </c>
      <c r="E97" s="21"/>
      <c r="F97" s="21"/>
      <c r="G97" s="1"/>
      <c r="H97" s="1"/>
      <c r="I97" s="1"/>
      <c r="J97" s="1"/>
      <c r="K97" s="1"/>
      <c r="L97" s="1"/>
      <c r="M97" s="1"/>
      <c r="N97" s="1"/>
      <c r="O97" s="1"/>
      <c r="P97" s="1"/>
      <c r="Q97" s="1"/>
      <c r="R97" s="1"/>
      <c r="S97" s="1"/>
      <c r="T97" s="1"/>
      <c r="U97" s="1"/>
      <c r="V97" s="1"/>
      <c r="W97" s="1"/>
      <c r="X97" s="1"/>
      <c r="Y97" s="1"/>
      <c r="Z97" s="1"/>
    </row>
    <row r="98" spans="1:26" ht="34">
      <c r="A98" s="43"/>
      <c r="B98" s="18" t="s">
        <v>228</v>
      </c>
      <c r="C98" s="19" t="s">
        <v>229</v>
      </c>
      <c r="D98" s="20" t="s">
        <v>23</v>
      </c>
      <c r="E98" s="21"/>
      <c r="F98" s="21"/>
      <c r="G98" s="1"/>
      <c r="H98" s="1"/>
      <c r="I98" s="1"/>
      <c r="J98" s="1"/>
      <c r="K98" s="1"/>
      <c r="L98" s="1"/>
      <c r="M98" s="1"/>
      <c r="N98" s="1"/>
      <c r="O98" s="1"/>
      <c r="P98" s="1"/>
      <c r="Q98" s="1"/>
      <c r="R98" s="1"/>
      <c r="S98" s="1"/>
      <c r="T98" s="1"/>
      <c r="U98" s="1"/>
      <c r="V98" s="1"/>
      <c r="W98" s="1"/>
      <c r="X98" s="1"/>
      <c r="Y98" s="1"/>
      <c r="Z98" s="1"/>
    </row>
    <row r="99" spans="1:26" ht="19">
      <c r="A99" s="43"/>
      <c r="B99" s="18" t="s">
        <v>230</v>
      </c>
      <c r="C99" s="19" t="s">
        <v>231</v>
      </c>
      <c r="D99" s="20" t="s">
        <v>23</v>
      </c>
      <c r="E99" s="21"/>
      <c r="F99" s="21"/>
      <c r="G99" s="1"/>
      <c r="H99" s="1"/>
      <c r="I99" s="1"/>
      <c r="J99" s="1"/>
      <c r="K99" s="1"/>
      <c r="L99" s="1"/>
      <c r="M99" s="1"/>
      <c r="N99" s="1"/>
      <c r="O99" s="1"/>
      <c r="P99" s="1"/>
      <c r="Q99" s="1"/>
      <c r="R99" s="1"/>
      <c r="S99" s="1"/>
      <c r="T99" s="1"/>
      <c r="U99" s="1"/>
      <c r="V99" s="1"/>
      <c r="W99" s="1"/>
      <c r="X99" s="1"/>
      <c r="Y99" s="1"/>
      <c r="Z99" s="1"/>
    </row>
    <row r="100" spans="1:26" ht="34">
      <c r="A100" s="43"/>
      <c r="B100" s="18" t="s">
        <v>232</v>
      </c>
      <c r="C100" s="19" t="s">
        <v>233</v>
      </c>
      <c r="D100" s="20" t="s">
        <v>23</v>
      </c>
      <c r="E100" s="21"/>
      <c r="F100" s="21"/>
      <c r="G100" s="1"/>
      <c r="H100" s="1"/>
      <c r="I100" s="1"/>
      <c r="J100" s="1"/>
      <c r="K100" s="1"/>
      <c r="L100" s="1"/>
      <c r="M100" s="1"/>
      <c r="N100" s="1"/>
      <c r="O100" s="1"/>
      <c r="P100" s="1"/>
      <c r="Q100" s="1"/>
      <c r="R100" s="1"/>
      <c r="S100" s="1"/>
      <c r="T100" s="1"/>
      <c r="U100" s="1"/>
      <c r="V100" s="1"/>
      <c r="W100" s="1"/>
      <c r="X100" s="1"/>
      <c r="Y100" s="1"/>
      <c r="Z100" s="1"/>
    </row>
    <row r="101" spans="1:26" ht="34">
      <c r="A101" s="43"/>
      <c r="B101" s="18" t="s">
        <v>234</v>
      </c>
      <c r="C101" s="19" t="s">
        <v>235</v>
      </c>
      <c r="D101" s="20" t="s">
        <v>23</v>
      </c>
      <c r="E101" s="21"/>
      <c r="F101" s="21"/>
      <c r="G101" s="1"/>
      <c r="H101" s="1"/>
      <c r="I101" s="1"/>
      <c r="J101" s="1"/>
      <c r="K101" s="1"/>
      <c r="L101" s="1"/>
      <c r="M101" s="1"/>
      <c r="N101" s="1"/>
      <c r="O101" s="1"/>
      <c r="P101" s="1"/>
      <c r="Q101" s="1"/>
      <c r="R101" s="1"/>
      <c r="S101" s="1"/>
      <c r="T101" s="1"/>
      <c r="U101" s="1"/>
      <c r="V101" s="1"/>
      <c r="W101" s="1"/>
      <c r="X101" s="1"/>
      <c r="Y101" s="1"/>
      <c r="Z101" s="1"/>
    </row>
    <row r="102" spans="1:26" ht="68">
      <c r="A102" s="43"/>
      <c r="B102" s="18" t="s">
        <v>236</v>
      </c>
      <c r="C102" s="19" t="s">
        <v>237</v>
      </c>
      <c r="D102" s="20" t="s">
        <v>23</v>
      </c>
      <c r="E102" s="21"/>
      <c r="F102" s="21"/>
      <c r="G102" s="1"/>
      <c r="H102" s="1"/>
      <c r="I102" s="1"/>
      <c r="J102" s="1"/>
      <c r="K102" s="1"/>
      <c r="L102" s="1"/>
      <c r="M102" s="1"/>
      <c r="N102" s="1"/>
      <c r="O102" s="1"/>
      <c r="P102" s="1"/>
      <c r="Q102" s="1"/>
      <c r="R102" s="1"/>
      <c r="S102" s="1"/>
      <c r="T102" s="1"/>
      <c r="U102" s="1"/>
      <c r="V102" s="1"/>
      <c r="W102" s="1"/>
      <c r="X102" s="1"/>
      <c r="Y102" s="1"/>
      <c r="Z102" s="1"/>
    </row>
    <row r="103" spans="1:26" ht="34">
      <c r="A103" s="43"/>
      <c r="B103" s="18" t="s">
        <v>238</v>
      </c>
      <c r="C103" s="19" t="s">
        <v>239</v>
      </c>
      <c r="D103" s="20" t="s">
        <v>23</v>
      </c>
      <c r="E103" s="21"/>
      <c r="F103" s="21"/>
      <c r="G103" s="1"/>
      <c r="H103" s="1"/>
      <c r="I103" s="1"/>
      <c r="J103" s="1"/>
      <c r="K103" s="1"/>
      <c r="L103" s="1"/>
      <c r="M103" s="1"/>
      <c r="N103" s="1"/>
      <c r="O103" s="1"/>
      <c r="P103" s="1"/>
      <c r="Q103" s="1"/>
      <c r="R103" s="1"/>
      <c r="S103" s="1"/>
      <c r="T103" s="1"/>
      <c r="U103" s="1"/>
      <c r="V103" s="1"/>
      <c r="W103" s="1"/>
      <c r="X103" s="1"/>
      <c r="Y103" s="1"/>
      <c r="Z103" s="1"/>
    </row>
    <row r="104" spans="1:26" ht="19">
      <c r="A104" s="43"/>
      <c r="B104" s="18" t="s">
        <v>240</v>
      </c>
      <c r="C104" s="19" t="s">
        <v>241</v>
      </c>
      <c r="D104" s="20" t="s">
        <v>23</v>
      </c>
      <c r="E104" s="21"/>
      <c r="F104" s="21"/>
      <c r="G104" s="1"/>
      <c r="H104" s="1"/>
      <c r="I104" s="1"/>
      <c r="J104" s="1"/>
      <c r="K104" s="1"/>
      <c r="L104" s="1"/>
      <c r="M104" s="1"/>
      <c r="N104" s="1"/>
      <c r="O104" s="1"/>
      <c r="P104" s="1"/>
      <c r="Q104" s="1"/>
      <c r="R104" s="1"/>
      <c r="S104" s="1"/>
      <c r="T104" s="1"/>
      <c r="U104" s="1"/>
      <c r="V104" s="1"/>
      <c r="W104" s="1"/>
      <c r="X104" s="1"/>
      <c r="Y104" s="1"/>
      <c r="Z104" s="1"/>
    </row>
    <row r="105" spans="1:26" ht="34">
      <c r="A105" s="43"/>
      <c r="B105" s="18" t="s">
        <v>242</v>
      </c>
      <c r="C105" s="19" t="s">
        <v>243</v>
      </c>
      <c r="D105" s="20" t="s">
        <v>53</v>
      </c>
      <c r="E105" s="21" t="s">
        <v>244</v>
      </c>
      <c r="F105" s="21"/>
      <c r="G105" s="1"/>
      <c r="H105" s="1"/>
      <c r="I105" s="1"/>
      <c r="J105" s="1"/>
      <c r="K105" s="1"/>
      <c r="L105" s="1"/>
      <c r="M105" s="1"/>
      <c r="N105" s="1"/>
      <c r="O105" s="1"/>
      <c r="P105" s="1"/>
      <c r="Q105" s="1"/>
      <c r="R105" s="1"/>
      <c r="S105" s="1"/>
      <c r="T105" s="1"/>
      <c r="U105" s="1"/>
      <c r="V105" s="1"/>
      <c r="W105" s="1"/>
      <c r="X105" s="1"/>
      <c r="Y105" s="1"/>
      <c r="Z105" s="1"/>
    </row>
    <row r="106" spans="1:26" ht="51">
      <c r="A106" s="43"/>
      <c r="B106" s="18" t="s">
        <v>245</v>
      </c>
      <c r="C106" s="19" t="s">
        <v>246</v>
      </c>
      <c r="D106" s="20" t="s">
        <v>23</v>
      </c>
      <c r="E106" s="21"/>
      <c r="F106" s="21"/>
      <c r="G106" s="1"/>
      <c r="H106" s="1"/>
      <c r="I106" s="1"/>
      <c r="J106" s="1"/>
      <c r="K106" s="1"/>
      <c r="L106" s="1"/>
      <c r="M106" s="1"/>
      <c r="N106" s="1"/>
      <c r="O106" s="1"/>
      <c r="P106" s="1"/>
      <c r="Q106" s="1"/>
      <c r="R106" s="1"/>
      <c r="S106" s="1"/>
      <c r="T106" s="1"/>
      <c r="U106" s="1"/>
      <c r="V106" s="1"/>
      <c r="W106" s="1"/>
      <c r="X106" s="1"/>
      <c r="Y106" s="1"/>
      <c r="Z106" s="1"/>
    </row>
    <row r="107" spans="1:26" ht="51">
      <c r="A107" s="44"/>
      <c r="B107" s="18" t="s">
        <v>247</v>
      </c>
      <c r="C107" s="19" t="s">
        <v>248</v>
      </c>
      <c r="D107" s="20" t="s">
        <v>23</v>
      </c>
      <c r="E107" s="21"/>
      <c r="F107" s="21"/>
      <c r="G107" s="1"/>
      <c r="H107" s="1"/>
      <c r="I107" s="1"/>
      <c r="J107" s="1"/>
      <c r="K107" s="1"/>
      <c r="L107" s="1"/>
      <c r="M107" s="1"/>
      <c r="N107" s="1"/>
      <c r="O107" s="1"/>
      <c r="P107" s="1"/>
      <c r="Q107" s="1"/>
      <c r="R107" s="1"/>
      <c r="S107" s="1"/>
      <c r="T107" s="1"/>
      <c r="U107" s="1"/>
      <c r="V107" s="1"/>
      <c r="W107" s="1"/>
      <c r="X107" s="1"/>
      <c r="Y107" s="1"/>
      <c r="Z107" s="1"/>
    </row>
    <row r="108" spans="1:26" ht="34">
      <c r="A108" s="42" t="s">
        <v>249</v>
      </c>
      <c r="B108" s="18" t="s">
        <v>250</v>
      </c>
      <c r="C108" s="19" t="s">
        <v>251</v>
      </c>
      <c r="D108" s="20" t="s">
        <v>23</v>
      </c>
      <c r="E108" s="21"/>
      <c r="F108" s="21"/>
      <c r="G108" s="1"/>
      <c r="H108" s="1"/>
      <c r="I108" s="1"/>
      <c r="J108" s="1"/>
      <c r="K108" s="1"/>
      <c r="L108" s="1"/>
      <c r="M108" s="1"/>
      <c r="N108" s="1"/>
      <c r="O108" s="1"/>
      <c r="P108" s="1"/>
      <c r="Q108" s="1"/>
      <c r="R108" s="1"/>
      <c r="S108" s="1"/>
      <c r="T108" s="1"/>
      <c r="U108" s="1"/>
      <c r="V108" s="1"/>
      <c r="W108" s="1"/>
      <c r="X108" s="1"/>
      <c r="Y108" s="1"/>
      <c r="Z108" s="1"/>
    </row>
    <row r="109" spans="1:26" ht="51">
      <c r="A109" s="43"/>
      <c r="B109" s="18" t="s">
        <v>252</v>
      </c>
      <c r="C109" s="19" t="s">
        <v>253</v>
      </c>
      <c r="D109" s="20" t="s">
        <v>23</v>
      </c>
      <c r="E109" s="21"/>
      <c r="F109" s="21"/>
      <c r="G109" s="1"/>
      <c r="H109" s="1"/>
      <c r="I109" s="1"/>
      <c r="J109" s="1"/>
      <c r="K109" s="1"/>
      <c r="L109" s="1"/>
      <c r="M109" s="1"/>
      <c r="N109" s="1"/>
      <c r="O109" s="1"/>
      <c r="P109" s="1"/>
      <c r="Q109" s="1"/>
      <c r="R109" s="1"/>
      <c r="S109" s="1"/>
      <c r="T109" s="1"/>
      <c r="U109" s="1"/>
      <c r="V109" s="1"/>
      <c r="W109" s="1"/>
      <c r="X109" s="1"/>
      <c r="Y109" s="1"/>
      <c r="Z109" s="1"/>
    </row>
    <row r="110" spans="1:26" ht="51">
      <c r="A110" s="43"/>
      <c r="B110" s="18" t="s">
        <v>254</v>
      </c>
      <c r="C110" s="19" t="s">
        <v>255</v>
      </c>
      <c r="D110" s="20" t="s">
        <v>23</v>
      </c>
      <c r="E110" s="21"/>
      <c r="F110" s="21"/>
      <c r="G110" s="1"/>
      <c r="H110" s="1"/>
      <c r="I110" s="1"/>
      <c r="J110" s="1"/>
      <c r="K110" s="1"/>
      <c r="L110" s="1"/>
      <c r="M110" s="1"/>
      <c r="N110" s="1"/>
      <c r="O110" s="1"/>
      <c r="P110" s="1"/>
      <c r="Q110" s="1"/>
      <c r="R110" s="1"/>
      <c r="S110" s="1"/>
      <c r="T110" s="1"/>
      <c r="U110" s="1"/>
      <c r="V110" s="1"/>
      <c r="W110" s="1"/>
      <c r="X110" s="1"/>
      <c r="Y110" s="1"/>
      <c r="Z110" s="1"/>
    </row>
    <row r="111" spans="1:26" ht="34">
      <c r="A111" s="43"/>
      <c r="B111" s="18" t="s">
        <v>256</v>
      </c>
      <c r="C111" s="19" t="s">
        <v>257</v>
      </c>
      <c r="D111" s="20" t="s">
        <v>23</v>
      </c>
      <c r="E111" s="21"/>
      <c r="F111" s="21"/>
      <c r="G111" s="1"/>
      <c r="H111" s="1"/>
      <c r="I111" s="1"/>
      <c r="J111" s="1"/>
      <c r="K111" s="1"/>
      <c r="L111" s="1"/>
      <c r="M111" s="1"/>
      <c r="N111" s="1"/>
      <c r="O111" s="1"/>
      <c r="P111" s="1"/>
      <c r="Q111" s="1"/>
      <c r="R111" s="1"/>
      <c r="S111" s="1"/>
      <c r="T111" s="1"/>
      <c r="U111" s="1"/>
      <c r="V111" s="1"/>
      <c r="W111" s="1"/>
      <c r="X111" s="1"/>
      <c r="Y111" s="1"/>
      <c r="Z111" s="1"/>
    </row>
    <row r="112" spans="1:26" ht="34">
      <c r="A112" s="43"/>
      <c r="B112" s="18" t="s">
        <v>258</v>
      </c>
      <c r="C112" s="19" t="s">
        <v>259</v>
      </c>
      <c r="D112" s="20" t="s">
        <v>23</v>
      </c>
      <c r="E112" s="21"/>
      <c r="F112" s="21"/>
      <c r="G112" s="1"/>
      <c r="H112" s="1"/>
      <c r="I112" s="1"/>
      <c r="J112" s="1"/>
      <c r="K112" s="1"/>
      <c r="L112" s="1"/>
      <c r="M112" s="1"/>
      <c r="N112" s="1"/>
      <c r="O112" s="1"/>
      <c r="P112" s="1"/>
      <c r="Q112" s="1"/>
      <c r="R112" s="1"/>
      <c r="S112" s="1"/>
      <c r="T112" s="1"/>
      <c r="U112" s="1"/>
      <c r="V112" s="1"/>
      <c r="W112" s="1"/>
      <c r="X112" s="1"/>
      <c r="Y112" s="1"/>
      <c r="Z112" s="1"/>
    </row>
    <row r="113" spans="1:26" ht="51">
      <c r="A113" s="43"/>
      <c r="B113" s="18" t="s">
        <v>260</v>
      </c>
      <c r="C113" s="19" t="s">
        <v>261</v>
      </c>
      <c r="D113" s="20" t="s">
        <v>23</v>
      </c>
      <c r="E113" s="21"/>
      <c r="F113" s="21"/>
      <c r="G113" s="1"/>
      <c r="H113" s="1"/>
      <c r="I113" s="1"/>
      <c r="J113" s="1"/>
      <c r="K113" s="1"/>
      <c r="L113" s="1"/>
      <c r="M113" s="1"/>
      <c r="N113" s="1"/>
      <c r="O113" s="1"/>
      <c r="P113" s="1"/>
      <c r="Q113" s="1"/>
      <c r="R113" s="1"/>
      <c r="S113" s="1"/>
      <c r="T113" s="1"/>
      <c r="U113" s="1"/>
      <c r="V113" s="1"/>
      <c r="W113" s="1"/>
      <c r="X113" s="1"/>
      <c r="Y113" s="1"/>
      <c r="Z113" s="1"/>
    </row>
    <row r="114" spans="1:26" ht="34">
      <c r="A114" s="43"/>
      <c r="B114" s="18" t="s">
        <v>262</v>
      </c>
      <c r="C114" s="19" t="s">
        <v>263</v>
      </c>
      <c r="D114" s="20" t="s">
        <v>23</v>
      </c>
      <c r="E114" s="21"/>
      <c r="F114" s="21"/>
      <c r="G114" s="1"/>
      <c r="H114" s="1"/>
      <c r="I114" s="1"/>
      <c r="J114" s="1"/>
      <c r="K114" s="1"/>
      <c r="L114" s="1"/>
      <c r="M114" s="1"/>
      <c r="N114" s="1"/>
      <c r="O114" s="1"/>
      <c r="P114" s="1"/>
      <c r="Q114" s="1"/>
      <c r="R114" s="1"/>
      <c r="S114" s="1"/>
      <c r="T114" s="1"/>
      <c r="U114" s="1"/>
      <c r="V114" s="1"/>
      <c r="W114" s="1"/>
      <c r="X114" s="1"/>
      <c r="Y114" s="1"/>
      <c r="Z114" s="1"/>
    </row>
    <row r="115" spans="1:26" ht="34">
      <c r="A115" s="43"/>
      <c r="B115" s="18" t="s">
        <v>264</v>
      </c>
      <c r="C115" s="19" t="s">
        <v>265</v>
      </c>
      <c r="D115" s="20" t="s">
        <v>23</v>
      </c>
      <c r="E115" s="21"/>
      <c r="F115" s="21"/>
      <c r="G115" s="1"/>
      <c r="H115" s="1"/>
      <c r="I115" s="1"/>
      <c r="J115" s="1"/>
      <c r="K115" s="1"/>
      <c r="L115" s="1"/>
      <c r="M115" s="1"/>
      <c r="N115" s="1"/>
      <c r="O115" s="1"/>
      <c r="P115" s="1"/>
      <c r="Q115" s="1"/>
      <c r="R115" s="1"/>
      <c r="S115" s="1"/>
      <c r="T115" s="1"/>
      <c r="U115" s="1"/>
      <c r="V115" s="1"/>
      <c r="W115" s="1"/>
      <c r="X115" s="1"/>
      <c r="Y115" s="1"/>
      <c r="Z115" s="1"/>
    </row>
    <row r="116" spans="1:26" ht="51">
      <c r="A116" s="43"/>
      <c r="B116" s="18" t="s">
        <v>266</v>
      </c>
      <c r="C116" s="19" t="s">
        <v>267</v>
      </c>
      <c r="D116" s="20" t="s">
        <v>23</v>
      </c>
      <c r="E116" s="21"/>
      <c r="F116" s="21"/>
      <c r="G116" s="1"/>
      <c r="H116" s="1"/>
      <c r="I116" s="1"/>
      <c r="J116" s="1"/>
      <c r="K116" s="1"/>
      <c r="L116" s="1"/>
      <c r="M116" s="1"/>
      <c r="N116" s="1"/>
      <c r="O116" s="1"/>
      <c r="P116" s="1"/>
      <c r="Q116" s="1"/>
      <c r="R116" s="1"/>
      <c r="S116" s="1"/>
      <c r="T116" s="1"/>
      <c r="U116" s="1"/>
      <c r="V116" s="1"/>
      <c r="W116" s="1"/>
      <c r="X116" s="1"/>
      <c r="Y116" s="1"/>
      <c r="Z116" s="1"/>
    </row>
    <row r="117" spans="1:26" ht="51">
      <c r="A117" s="43"/>
      <c r="B117" s="18" t="s">
        <v>268</v>
      </c>
      <c r="C117" s="19" t="s">
        <v>269</v>
      </c>
      <c r="D117" s="20" t="s">
        <v>23</v>
      </c>
      <c r="E117" s="21"/>
      <c r="F117" s="21"/>
      <c r="G117" s="1"/>
      <c r="H117" s="1"/>
      <c r="I117" s="1"/>
      <c r="J117" s="1"/>
      <c r="K117" s="1"/>
      <c r="L117" s="1"/>
      <c r="M117" s="1"/>
      <c r="N117" s="1"/>
      <c r="O117" s="1"/>
      <c r="P117" s="1"/>
      <c r="Q117" s="1"/>
      <c r="R117" s="1"/>
      <c r="S117" s="1"/>
      <c r="T117" s="1"/>
      <c r="U117" s="1"/>
      <c r="V117" s="1"/>
      <c r="W117" s="1"/>
      <c r="X117" s="1"/>
      <c r="Y117" s="1"/>
      <c r="Z117" s="1"/>
    </row>
    <row r="118" spans="1:26" ht="51">
      <c r="A118" s="43"/>
      <c r="B118" s="18" t="s">
        <v>270</v>
      </c>
      <c r="C118" s="19" t="s">
        <v>271</v>
      </c>
      <c r="D118" s="20" t="s">
        <v>23</v>
      </c>
      <c r="E118" s="21"/>
      <c r="F118" s="21"/>
      <c r="G118" s="1"/>
      <c r="H118" s="1"/>
      <c r="I118" s="1"/>
      <c r="J118" s="1"/>
      <c r="K118" s="1"/>
      <c r="L118" s="1"/>
      <c r="M118" s="1"/>
      <c r="N118" s="1"/>
      <c r="O118" s="1"/>
      <c r="P118" s="1"/>
      <c r="Q118" s="1"/>
      <c r="R118" s="1"/>
      <c r="S118" s="1"/>
      <c r="T118" s="1"/>
      <c r="U118" s="1"/>
      <c r="V118" s="1"/>
      <c r="W118" s="1"/>
      <c r="X118" s="1"/>
      <c r="Y118" s="1"/>
      <c r="Z118" s="1"/>
    </row>
    <row r="119" spans="1:26" ht="51">
      <c r="A119" s="44"/>
      <c r="B119" s="18" t="s">
        <v>272</v>
      </c>
      <c r="C119" s="19" t="s">
        <v>273</v>
      </c>
      <c r="D119" s="20" t="s">
        <v>23</v>
      </c>
      <c r="E119" s="21"/>
      <c r="F119" s="2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2"/>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2"/>
      <c r="G121" s="1"/>
      <c r="H121" s="1"/>
      <c r="I121" s="1"/>
      <c r="J121" s="1"/>
      <c r="K121" s="1"/>
      <c r="L121" s="1"/>
      <c r="M121" s="1"/>
      <c r="N121" s="1"/>
      <c r="O121" s="1"/>
      <c r="P121" s="1"/>
      <c r="Q121" s="1"/>
      <c r="R121" s="1"/>
      <c r="S121" s="1"/>
      <c r="T121" s="1"/>
      <c r="U121" s="1"/>
      <c r="V121" s="1"/>
      <c r="W121" s="1"/>
      <c r="X121" s="1"/>
      <c r="Y121" s="1"/>
      <c r="Z121" s="1"/>
    </row>
    <row r="122" spans="1:26">
      <c r="A122" s="46" t="s">
        <v>274</v>
      </c>
      <c r="B122" s="38"/>
      <c r="C122" s="38"/>
      <c r="D122" s="39"/>
      <c r="E122" s="30" t="s">
        <v>275</v>
      </c>
      <c r="F122" s="2"/>
      <c r="G122" s="1"/>
      <c r="H122" s="1"/>
      <c r="I122" s="1"/>
      <c r="J122" s="1"/>
      <c r="K122" s="1"/>
      <c r="L122" s="1"/>
      <c r="M122" s="1"/>
      <c r="N122" s="1"/>
      <c r="O122" s="1"/>
      <c r="P122" s="1"/>
      <c r="Q122" s="1"/>
      <c r="R122" s="1"/>
      <c r="S122" s="1"/>
      <c r="T122" s="1"/>
      <c r="U122" s="1"/>
      <c r="V122" s="1"/>
      <c r="W122" s="1"/>
      <c r="X122" s="1"/>
      <c r="Y122" s="1"/>
      <c r="Z122" s="1"/>
    </row>
    <row r="123" spans="1:26" ht="31" customHeight="1">
      <c r="A123" s="45" t="s">
        <v>276</v>
      </c>
      <c r="B123" s="38"/>
      <c r="C123" s="38"/>
      <c r="D123" s="39"/>
      <c r="E123" s="31" t="s">
        <v>277</v>
      </c>
      <c r="F123" s="2"/>
      <c r="G123" s="1"/>
      <c r="H123" s="1"/>
      <c r="I123" s="1"/>
      <c r="J123" s="1"/>
      <c r="K123" s="1"/>
      <c r="L123" s="1"/>
      <c r="M123" s="1"/>
      <c r="N123" s="1"/>
      <c r="O123" s="1"/>
      <c r="P123" s="1"/>
      <c r="Q123" s="1"/>
      <c r="R123" s="1"/>
      <c r="S123" s="1"/>
      <c r="T123" s="1"/>
      <c r="U123" s="1"/>
      <c r="V123" s="1"/>
      <c r="W123" s="1"/>
      <c r="X123" s="1"/>
      <c r="Y123" s="1"/>
      <c r="Z123" s="1"/>
    </row>
    <row r="124" spans="1:26" ht="23" customHeight="1">
      <c r="A124" s="45" t="s">
        <v>278</v>
      </c>
      <c r="B124" s="38"/>
      <c r="C124" s="38"/>
      <c r="D124" s="39"/>
      <c r="E124" s="32" t="s">
        <v>279</v>
      </c>
      <c r="F124" s="2"/>
      <c r="G124" s="1"/>
      <c r="H124" s="1"/>
      <c r="I124" s="1"/>
      <c r="J124" s="1"/>
      <c r="K124" s="1"/>
      <c r="L124" s="1"/>
      <c r="M124" s="1"/>
      <c r="N124" s="1"/>
      <c r="O124" s="1"/>
      <c r="P124" s="1"/>
      <c r="Q124" s="1"/>
      <c r="R124" s="1"/>
      <c r="S124" s="1"/>
      <c r="T124" s="1"/>
      <c r="U124" s="1"/>
      <c r="V124" s="1"/>
      <c r="W124" s="1"/>
      <c r="X124" s="1"/>
      <c r="Y124" s="1"/>
      <c r="Z124" s="1"/>
    </row>
    <row r="125" spans="1:26" ht="34">
      <c r="A125" s="45" t="s">
        <v>280</v>
      </c>
      <c r="B125" s="38"/>
      <c r="C125" s="38"/>
      <c r="D125" s="39"/>
      <c r="E125" s="31" t="s">
        <v>281</v>
      </c>
      <c r="F125" s="2"/>
      <c r="G125" s="1"/>
      <c r="H125" s="1"/>
      <c r="I125" s="1"/>
      <c r="J125" s="1"/>
      <c r="K125" s="1"/>
      <c r="L125" s="1"/>
      <c r="M125" s="1"/>
      <c r="N125" s="1"/>
      <c r="O125" s="1"/>
      <c r="P125" s="1"/>
      <c r="Q125" s="1"/>
      <c r="R125" s="1"/>
      <c r="S125" s="1"/>
      <c r="T125" s="1"/>
      <c r="U125" s="1"/>
      <c r="V125" s="1"/>
      <c r="W125" s="1"/>
      <c r="X125" s="1"/>
      <c r="Y125" s="1"/>
      <c r="Z125" s="1"/>
    </row>
    <row r="126" spans="1:26" ht="326" customHeight="1">
      <c r="A126" s="45" t="s">
        <v>282</v>
      </c>
      <c r="B126" s="38"/>
      <c r="C126" s="38"/>
      <c r="D126" s="39"/>
      <c r="E126" s="31" t="s">
        <v>283</v>
      </c>
      <c r="F126" s="2"/>
      <c r="G126" s="1"/>
      <c r="H126" s="1"/>
      <c r="I126" s="1"/>
      <c r="J126" s="1"/>
      <c r="K126" s="1"/>
      <c r="L126" s="1"/>
      <c r="M126" s="1"/>
      <c r="N126" s="1"/>
      <c r="O126" s="1"/>
      <c r="P126" s="1"/>
      <c r="Q126" s="1"/>
      <c r="R126" s="1"/>
      <c r="S126" s="1"/>
      <c r="T126" s="1"/>
      <c r="U126" s="1"/>
      <c r="V126" s="1"/>
      <c r="W126" s="1"/>
      <c r="X126" s="1"/>
      <c r="Y126" s="1"/>
      <c r="Z126" s="1"/>
    </row>
    <row r="127" spans="1:26" ht="135" customHeight="1">
      <c r="A127" s="45" t="s">
        <v>284</v>
      </c>
      <c r="B127" s="38"/>
      <c r="C127" s="38"/>
      <c r="D127" s="39"/>
      <c r="E127" s="31" t="s">
        <v>283</v>
      </c>
      <c r="F127" s="2"/>
      <c r="G127" s="1"/>
      <c r="H127" s="1"/>
      <c r="I127" s="1"/>
      <c r="J127" s="1"/>
      <c r="K127" s="1"/>
      <c r="L127" s="1"/>
      <c r="M127" s="1"/>
      <c r="N127" s="1"/>
      <c r="O127" s="1"/>
      <c r="P127" s="1"/>
      <c r="Q127" s="1"/>
      <c r="R127" s="1"/>
      <c r="S127" s="1"/>
      <c r="T127" s="1"/>
      <c r="U127" s="1"/>
      <c r="V127" s="1"/>
      <c r="W127" s="1"/>
      <c r="X127" s="1"/>
      <c r="Y127" s="1"/>
      <c r="Z127" s="1"/>
    </row>
    <row r="128" spans="1:26" ht="51" customHeight="1">
      <c r="A128" s="45" t="s">
        <v>285</v>
      </c>
      <c r="B128" s="38"/>
      <c r="C128" s="38"/>
      <c r="D128" s="39"/>
      <c r="E128" s="31" t="s">
        <v>283</v>
      </c>
      <c r="F128" s="2"/>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2"/>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2"/>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2"/>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2"/>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2"/>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2"/>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2"/>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2"/>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2"/>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2"/>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2"/>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2"/>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2"/>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2"/>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2"/>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2"/>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2"/>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2"/>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2"/>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2"/>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2"/>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2"/>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2"/>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2"/>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2"/>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2"/>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2"/>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2"/>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2"/>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2"/>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2"/>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2"/>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2"/>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2"/>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2"/>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2"/>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2"/>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2"/>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2"/>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2"/>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2"/>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2"/>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2"/>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2"/>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2"/>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2"/>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2"/>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2"/>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2"/>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2"/>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2"/>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2"/>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2"/>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2"/>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2"/>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2"/>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2"/>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2"/>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2"/>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2"/>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2"/>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2"/>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2"/>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2"/>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2"/>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2"/>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2"/>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2"/>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2"/>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2"/>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2"/>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2"/>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2"/>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2"/>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2"/>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2"/>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2"/>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2"/>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2"/>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2"/>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2"/>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2"/>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2"/>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2"/>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2"/>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2"/>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2"/>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2"/>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2"/>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2"/>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2"/>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2"/>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2"/>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2"/>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2"/>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2"/>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2"/>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2"/>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2"/>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2"/>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2"/>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2"/>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2"/>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2"/>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2"/>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2"/>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2"/>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2"/>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2"/>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2"/>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2"/>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2"/>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2"/>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2"/>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2"/>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2"/>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2"/>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2"/>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2"/>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2"/>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2"/>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2"/>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2"/>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2"/>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2"/>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2"/>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2"/>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2"/>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2"/>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2"/>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2"/>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2"/>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2"/>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2"/>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2"/>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2"/>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2"/>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2"/>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2"/>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2"/>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2"/>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2"/>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2"/>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2"/>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2"/>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2"/>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2"/>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2"/>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2"/>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2"/>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2"/>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2"/>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2"/>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2"/>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2"/>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2"/>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2"/>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2"/>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2"/>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2"/>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2"/>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2"/>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2"/>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2"/>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2"/>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2"/>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2"/>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2"/>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2"/>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2"/>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2"/>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2"/>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2"/>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2"/>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2"/>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2"/>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2"/>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2"/>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2"/>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2"/>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2"/>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2"/>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2"/>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2"/>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2"/>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2"/>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2"/>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2"/>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2"/>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2"/>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2"/>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2"/>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2"/>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2"/>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2"/>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2"/>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2"/>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2"/>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2"/>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2"/>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2"/>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2"/>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2"/>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2"/>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2"/>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2"/>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2"/>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2"/>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2"/>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2"/>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2"/>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2"/>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2"/>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2"/>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2"/>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2"/>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2"/>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2"/>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2"/>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2"/>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2"/>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2"/>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2"/>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2"/>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2"/>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2"/>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2"/>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2"/>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2"/>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2"/>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2"/>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2"/>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2"/>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2"/>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2"/>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2"/>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2"/>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2"/>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2"/>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2"/>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2"/>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2"/>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2"/>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2"/>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2"/>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2"/>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2"/>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2"/>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2"/>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2"/>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2"/>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2"/>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2"/>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2"/>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2"/>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2"/>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2"/>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2"/>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2"/>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2"/>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2"/>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2"/>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2"/>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2"/>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2"/>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2"/>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2"/>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2"/>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2"/>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2"/>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2"/>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2"/>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2"/>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2"/>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2"/>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2"/>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2"/>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2"/>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2"/>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2"/>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2"/>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2"/>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2"/>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2"/>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2"/>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2"/>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2"/>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2"/>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2"/>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2"/>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2"/>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2"/>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2"/>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2"/>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2"/>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2"/>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2"/>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2"/>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2"/>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2"/>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2"/>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2"/>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2"/>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2"/>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2"/>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2"/>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2"/>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2"/>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2"/>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2"/>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2"/>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2"/>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2"/>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2"/>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2"/>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2"/>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2"/>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2"/>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2"/>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2"/>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2"/>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2"/>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2"/>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2"/>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2"/>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2"/>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2"/>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2"/>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2"/>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2"/>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2"/>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2"/>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2"/>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2"/>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2"/>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2"/>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2"/>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2"/>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2"/>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2"/>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2"/>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2"/>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2"/>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2"/>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2"/>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2"/>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2"/>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2"/>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2"/>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2"/>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2"/>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2"/>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2"/>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2"/>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2"/>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2"/>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2"/>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2"/>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2"/>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2"/>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2"/>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2"/>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2"/>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2"/>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2"/>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2"/>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2"/>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2"/>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2"/>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2"/>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2"/>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2"/>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2"/>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2"/>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2"/>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2"/>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2"/>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2"/>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2"/>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2"/>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2"/>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2"/>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2"/>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2"/>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2"/>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2"/>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2"/>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2"/>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2"/>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2"/>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2"/>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2"/>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2"/>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2"/>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2"/>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2"/>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2"/>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2"/>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2"/>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2"/>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2"/>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2"/>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2"/>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2"/>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2"/>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2"/>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2"/>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2"/>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2"/>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2"/>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2"/>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2"/>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2"/>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2"/>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2"/>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2"/>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2"/>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2"/>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2"/>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2"/>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2"/>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2"/>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2"/>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2"/>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2"/>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2"/>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2"/>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2"/>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2"/>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2"/>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2"/>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2"/>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2"/>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2"/>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2"/>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2"/>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2"/>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2"/>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2"/>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2"/>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2"/>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2"/>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2"/>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2"/>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2"/>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2"/>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2"/>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2"/>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2"/>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2"/>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2"/>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2"/>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2"/>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2"/>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2"/>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2"/>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2"/>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2"/>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2"/>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2"/>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2"/>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2"/>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2"/>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2"/>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2"/>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2"/>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2"/>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2"/>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2"/>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2"/>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2"/>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2"/>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2"/>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2"/>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2"/>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2"/>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2"/>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2"/>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2"/>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2"/>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2"/>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2"/>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2"/>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2"/>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2"/>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2"/>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2"/>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2"/>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2"/>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2"/>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2"/>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2"/>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2"/>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2"/>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2"/>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2"/>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2"/>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2"/>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2"/>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2"/>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2"/>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2"/>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2"/>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2"/>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2"/>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2"/>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2"/>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2"/>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2"/>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2"/>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2"/>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2"/>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2"/>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2"/>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2"/>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2"/>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2"/>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2"/>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2"/>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2"/>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2"/>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2"/>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2"/>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2"/>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2"/>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2"/>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2"/>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2"/>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2"/>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2"/>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2"/>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2"/>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2"/>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2"/>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2"/>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2"/>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2"/>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2"/>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2"/>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2"/>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2"/>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2"/>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2"/>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2"/>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2"/>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2"/>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2"/>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2"/>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2"/>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2"/>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2"/>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2"/>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2"/>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2"/>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2"/>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2"/>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2"/>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2"/>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2"/>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2"/>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2"/>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2"/>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2"/>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2"/>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2"/>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2"/>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2"/>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2"/>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2"/>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2"/>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2"/>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2"/>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2"/>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2"/>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2"/>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2"/>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2"/>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2"/>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2"/>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2"/>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2"/>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2"/>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2"/>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2"/>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2"/>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2"/>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2"/>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2"/>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2"/>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2"/>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2"/>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2"/>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2"/>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2"/>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2"/>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2"/>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2"/>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2"/>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2"/>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2"/>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2"/>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2"/>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2"/>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2"/>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2"/>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2"/>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2"/>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2"/>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2"/>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2"/>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2"/>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2"/>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2"/>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2"/>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2"/>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2"/>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2"/>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2"/>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2"/>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2"/>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2"/>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2"/>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2"/>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2"/>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2"/>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2"/>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2"/>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2"/>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2"/>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2"/>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2"/>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2"/>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2"/>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2"/>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2"/>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2"/>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2"/>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2"/>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2"/>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2"/>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2"/>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2"/>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2"/>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2"/>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2"/>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2"/>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2"/>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2"/>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2"/>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2"/>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2"/>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2"/>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2"/>
      <c r="G1000" s="1"/>
      <c r="H1000" s="1"/>
      <c r="I1000" s="1"/>
      <c r="J1000" s="1"/>
      <c r="K1000" s="1"/>
      <c r="L1000" s="1"/>
      <c r="M1000" s="1"/>
      <c r="N1000" s="1"/>
      <c r="O1000" s="1"/>
      <c r="P1000" s="1"/>
      <c r="Q1000" s="1"/>
      <c r="R1000" s="1"/>
      <c r="S1000" s="1"/>
      <c r="T1000" s="1"/>
      <c r="U1000" s="1"/>
      <c r="V1000" s="1"/>
      <c r="W1000" s="1"/>
      <c r="X1000" s="1"/>
      <c r="Y1000" s="1"/>
      <c r="Z1000" s="1"/>
    </row>
  </sheetData>
  <mergeCells count="31">
    <mergeCell ref="A128:D128"/>
    <mergeCell ref="A122:D122"/>
    <mergeCell ref="A123:D123"/>
    <mergeCell ref="A124:D124"/>
    <mergeCell ref="A125:D125"/>
    <mergeCell ref="A126:D126"/>
    <mergeCell ref="A127:D127"/>
    <mergeCell ref="A108:A119"/>
    <mergeCell ref="A23:A24"/>
    <mergeCell ref="A25:A27"/>
    <mergeCell ref="A28:A40"/>
    <mergeCell ref="A41:A48"/>
    <mergeCell ref="A49:A50"/>
    <mergeCell ref="A51:A55"/>
    <mergeCell ref="A56:A65"/>
    <mergeCell ref="A66:A69"/>
    <mergeCell ref="A70:A83"/>
    <mergeCell ref="A84:A96"/>
    <mergeCell ref="A97:A107"/>
    <mergeCell ref="A14:A22"/>
    <mergeCell ref="A1:D1"/>
    <mergeCell ref="A2:C2"/>
    <mergeCell ref="A3:C3"/>
    <mergeCell ref="A4:C4"/>
    <mergeCell ref="A5:C5"/>
    <mergeCell ref="A6:C6"/>
    <mergeCell ref="A7:C7"/>
    <mergeCell ref="A8:C8"/>
    <mergeCell ref="A9:C9"/>
    <mergeCell ref="A10:C10"/>
    <mergeCell ref="A11:C11"/>
  </mergeCells>
  <conditionalFormatting sqref="D14:E14 D15 D16:E119">
    <cfRule type="expression" dxfId="4" priority="1">
      <formula>$D14="Non testé"</formula>
    </cfRule>
  </conditionalFormatting>
  <conditionalFormatting sqref="D14:E119">
    <cfRule type="expression" dxfId="3" priority="2">
      <formula>$D14="Dérogé"</formula>
    </cfRule>
    <cfRule type="expression" dxfId="2" priority="3">
      <formula>$D14="Conforme"</formula>
    </cfRule>
    <cfRule type="expression" dxfId="1" priority="4">
      <formula>$D14="Non conforme"</formula>
    </cfRule>
  </conditionalFormatting>
  <conditionalFormatting sqref="E15">
    <cfRule type="expression" dxfId="0" priority="5">
      <formula>$D15="Non testé"</formula>
    </cfRule>
  </conditionalFormatting>
  <dataValidations count="1">
    <dataValidation type="list" allowBlank="1" showErrorMessage="1" sqref="D14:D119" xr:uid="{E5EE438D-66EF-284F-87DB-93F6C3399B97}">
      <formula1>"Conforme,Non conforme,Non applicable,Dérogé,Non testé"</formula1>
    </dataValidation>
  </dataValidations>
  <hyperlinks>
    <hyperlink ref="E123" r:id="rId1" xr:uid="{7A498BB3-66E4-6B49-B8CE-F2AAC8FA16C5}"/>
    <hyperlink ref="E126" r:id="rId2" xr:uid="{C4BFA711-21B2-0740-9D45-8A9BCB17D121}"/>
    <hyperlink ref="E127" r:id="rId3" xr:uid="{369BB5FB-71E1-0D4D-AF4D-F01E80D0C1D1}"/>
    <hyperlink ref="E128" r:id="rId4" xr:uid="{7BE1A794-6603-C946-800A-19AD50E95A6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SySelect Audit V1</vt:lpstr>
      <vt:lpstr>SySelect Audit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FYON</cp:lastModifiedBy>
  <dcterms:modified xsi:type="dcterms:W3CDTF">2025-08-05T13:10:51Z</dcterms:modified>
</cp:coreProperties>
</file>